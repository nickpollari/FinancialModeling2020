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\Desktop\Personal\FAP\2020 Financial Modeling\"/>
    </mc:Choice>
  </mc:AlternateContent>
  <xr:revisionPtr revIDLastSave="0" documentId="13_ncr:1_{145E633D-CADA-4E85-8F3D-5B6E0B8E1DBC}" xr6:coauthVersionLast="45" xr6:coauthVersionMax="45" xr10:uidLastSave="{00000000-0000-0000-0000-000000000000}"/>
  <bookViews>
    <workbookView xWindow="2685" yWindow="2685" windowWidth="14565" windowHeight="15885" tabRatio="880" activeTab="3" xr2:uid="{00000000-000D-0000-FFFF-FFFF00000000}"/>
  </bookViews>
  <sheets>
    <sheet name="IS" sheetId="4" r:id="rId1"/>
    <sheet name="BS" sheetId="5" r:id="rId2"/>
    <sheet name="CF" sheetId="7" r:id="rId3"/>
    <sheet name="Ratios" sheetId="8" r:id="rId4"/>
    <sheet name="Assumptions" sheetId="9" r:id="rId5"/>
    <sheet name="Projections" sheetId="12" r:id="rId6"/>
    <sheet name="Valuation" sheetId="13" r:id="rId7"/>
    <sheet name="DDM-Val" sheetId="14" r:id="rId8"/>
    <sheet name="WACC" sheetId="16" r:id="rId9"/>
    <sheet name="DCF-Val" sheetId="15" r:id="rId10"/>
  </sheets>
  <definedNames>
    <definedName name="_xlnm.Print_Area" localSheetId="4">Assumptions!$A$1:$P$40</definedName>
    <definedName name="_xlnm.Print_Area" localSheetId="3">Ratios!$A$1:$D$49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5" i="7" l="1"/>
  <c r="D45" i="7"/>
  <c r="E45" i="7"/>
  <c r="B45" i="7"/>
  <c r="C33" i="7"/>
  <c r="D33" i="7"/>
  <c r="E33" i="7"/>
  <c r="B33" i="7"/>
  <c r="C26" i="7"/>
  <c r="D26" i="7"/>
  <c r="E26" i="7"/>
  <c r="B26" i="7"/>
  <c r="C24" i="7"/>
  <c r="D24" i="7"/>
  <c r="E24" i="7"/>
  <c r="B24" i="7"/>
  <c r="C7" i="7"/>
  <c r="D7" i="7"/>
  <c r="E7" i="7"/>
  <c r="C8" i="7"/>
  <c r="D8" i="7"/>
  <c r="E8" i="7"/>
  <c r="E9" i="7" s="1"/>
  <c r="C9" i="7"/>
  <c r="D9" i="7"/>
  <c r="C10" i="7"/>
  <c r="D10" i="7"/>
  <c r="E10" i="7"/>
  <c r="B10" i="7"/>
  <c r="B8" i="7"/>
  <c r="B7" i="7"/>
  <c r="E47" i="5"/>
  <c r="D47" i="5"/>
  <c r="C47" i="5"/>
  <c r="B47" i="5"/>
  <c r="E45" i="5"/>
  <c r="D45" i="5"/>
  <c r="C45" i="5"/>
  <c r="B45" i="5"/>
  <c r="E36" i="5"/>
  <c r="D36" i="5"/>
  <c r="C36" i="5"/>
  <c r="B36" i="5"/>
  <c r="E35" i="5"/>
  <c r="D35" i="5"/>
  <c r="C35" i="5"/>
  <c r="B35" i="5"/>
  <c r="E30" i="5"/>
  <c r="D30" i="5"/>
  <c r="C30" i="5"/>
  <c r="B30" i="5"/>
  <c r="E23" i="5"/>
  <c r="D23" i="5"/>
  <c r="C23" i="5"/>
  <c r="B23" i="5"/>
  <c r="E21" i="5"/>
  <c r="D21" i="5"/>
  <c r="C21" i="5"/>
  <c r="B21" i="5"/>
  <c r="E12" i="5"/>
  <c r="D12" i="5"/>
  <c r="C12" i="5"/>
  <c r="B12" i="5"/>
  <c r="D24" i="4"/>
  <c r="C24" i="4"/>
  <c r="B24" i="4"/>
  <c r="E23" i="4"/>
  <c r="E24" i="4" s="1"/>
  <c r="D23" i="4"/>
  <c r="C23" i="4"/>
  <c r="B23" i="4"/>
  <c r="E21" i="4"/>
  <c r="D21" i="4"/>
  <c r="C21" i="4"/>
  <c r="B21" i="4"/>
  <c r="E19" i="4"/>
  <c r="D19" i="4"/>
  <c r="C19" i="4"/>
  <c r="B19" i="4"/>
  <c r="E17" i="4"/>
  <c r="D17" i="4"/>
  <c r="C17" i="4"/>
  <c r="B17" i="4"/>
  <c r="E13" i="4"/>
  <c r="D13" i="4"/>
  <c r="C13" i="4"/>
  <c r="B13" i="4"/>
  <c r="E10" i="4"/>
  <c r="D10" i="4"/>
  <c r="C10" i="4"/>
  <c r="B10" i="4"/>
  <c r="E8" i="4"/>
  <c r="D8" i="4"/>
  <c r="C8" i="4"/>
  <c r="B8" i="4"/>
  <c r="B9" i="7" l="1"/>
  <c r="B3" i="15"/>
  <c r="B3" i="16"/>
  <c r="B3" i="14"/>
  <c r="B3" i="13"/>
  <c r="B3" i="12"/>
  <c r="D16" i="14"/>
  <c r="C16" i="14"/>
  <c r="B16" i="14"/>
</calcChain>
</file>

<file path=xl/sharedStrings.xml><?xml version="1.0" encoding="utf-8"?>
<sst xmlns="http://schemas.openxmlformats.org/spreadsheetml/2006/main" count="319" uniqueCount="203">
  <si>
    <t>Ticker</t>
  </si>
  <si>
    <t>Company</t>
  </si>
  <si>
    <t>Cost of sales</t>
  </si>
  <si>
    <t>Gross Profit</t>
  </si>
  <si>
    <t>(millions, except per share data)</t>
  </si>
  <si>
    <t>Sales</t>
  </si>
  <si>
    <t>Credit card revenues</t>
  </si>
  <si>
    <t>Total revenues</t>
  </si>
  <si>
    <t>Selling, general and administrative expenses</t>
  </si>
  <si>
    <t>Credit card expenses</t>
  </si>
  <si>
    <t>Depreciation and amortization</t>
  </si>
  <si>
    <t>Gain on receivables held for sale</t>
  </si>
  <si>
    <t>Provision for income taxes</t>
  </si>
  <si>
    <t>Net earnings</t>
  </si>
  <si>
    <t>Basic earnings per share</t>
  </si>
  <si>
    <t>Weighted average common shares outstanding</t>
  </si>
  <si>
    <t>EBITDA</t>
  </si>
  <si>
    <t>EBIT</t>
  </si>
  <si>
    <t>EBT</t>
  </si>
  <si>
    <t>TGT</t>
  </si>
  <si>
    <t>Target</t>
  </si>
  <si>
    <t>Assets</t>
  </si>
  <si>
    <t>Credit card receivables, held for sale</t>
  </si>
  <si>
    <t>Inventory</t>
  </si>
  <si>
    <t>Other current assets</t>
  </si>
  <si>
    <t>Total current assets</t>
  </si>
  <si>
    <t>Property and equipment</t>
  </si>
  <si>
    <t>Land</t>
  </si>
  <si>
    <t>Buildings and improvements</t>
  </si>
  <si>
    <t>Fixtures and equipment</t>
  </si>
  <si>
    <t>Computer hardware and software</t>
  </si>
  <si>
    <t>Construction-in-progress</t>
  </si>
  <si>
    <t>Accumulated depreciation</t>
  </si>
  <si>
    <t>Property and equipment, net</t>
  </si>
  <si>
    <t>Other noncurrent assets</t>
  </si>
  <si>
    <t>Total assets</t>
  </si>
  <si>
    <t>Liabilities and shareholders' investment</t>
  </si>
  <si>
    <t>Accounts payable</t>
  </si>
  <si>
    <t>Accrued and other current liabilities</t>
  </si>
  <si>
    <t>Unsecured debt and other borrowings</t>
  </si>
  <si>
    <t>Nonrecourse debt collateralized by credit card receivables</t>
  </si>
  <si>
    <t>Total current liabilities</t>
  </si>
  <si>
    <t>Deferred income taxes</t>
  </si>
  <si>
    <t>Other noncurrent liabilities</t>
  </si>
  <si>
    <t>Total noncurrent liabilities</t>
  </si>
  <si>
    <t>Shareholders' investment</t>
  </si>
  <si>
    <t>Common stock</t>
  </si>
  <si>
    <t>Additional paid-in capital</t>
  </si>
  <si>
    <t>Retained earnings</t>
  </si>
  <si>
    <t>Accumulated other comprehensive loss</t>
  </si>
  <si>
    <t>Pension and other benefit liabilities</t>
  </si>
  <si>
    <t>Currency translation adjustment and cash flow hedges</t>
  </si>
  <si>
    <t>Total shareholders' investment</t>
  </si>
  <si>
    <t>Total liabilities and shareholders' investment</t>
  </si>
  <si>
    <t>Cash and cash equivalents</t>
  </si>
  <si>
    <t>Credit card receivable</t>
  </si>
  <si>
    <t>(millions)</t>
  </si>
  <si>
    <t>Operating activities</t>
  </si>
  <si>
    <t>Share-based compensation expense</t>
  </si>
  <si>
    <t>Bad debt expense (a)</t>
  </si>
  <si>
    <t>Noncash (gains)/losses and other, net</t>
  </si>
  <si>
    <t>Changes in operating accounts:</t>
  </si>
  <si>
    <t>Accounts receivable originated at Target</t>
  </si>
  <si>
    <t>Investing activities</t>
  </si>
  <si>
    <t>Expenditures for property and equipment</t>
  </si>
  <si>
    <t>Proceeds from disposal of property and equipment</t>
  </si>
  <si>
    <t>Change in accounts receivable originated at third parties</t>
  </si>
  <si>
    <t>Other investments</t>
  </si>
  <si>
    <t>Cash flow required for investing activities</t>
  </si>
  <si>
    <t>Financing activities</t>
  </si>
  <si>
    <t>Change in commercial paper, net</t>
  </si>
  <si>
    <t>Additions to short-term debt</t>
  </si>
  <si>
    <t>Reductions of short-term debt</t>
  </si>
  <si>
    <t>Additions to long-term debt</t>
  </si>
  <si>
    <t>Reductions of long-term debt</t>
  </si>
  <si>
    <t>Dividends paid</t>
  </si>
  <si>
    <t>Repurchase of stock</t>
  </si>
  <si>
    <t>Stock option exercises and related tax benefit</t>
  </si>
  <si>
    <t>Other</t>
  </si>
  <si>
    <t>Cash flow required for financing activities</t>
  </si>
  <si>
    <t>Effect of exchange rate changes on cash and cash equivalents</t>
  </si>
  <si>
    <t>Cash and cash equivalents at beginning of period</t>
  </si>
  <si>
    <t>Cash and cash equivalents at end of period</t>
  </si>
  <si>
    <t>Net Change in cash and cash equivalents</t>
  </si>
  <si>
    <t>Total Liabilities</t>
  </si>
  <si>
    <t>Profitability Ratios</t>
  </si>
  <si>
    <t>Gross Profit Margin</t>
  </si>
  <si>
    <t>EBITDA Margin</t>
  </si>
  <si>
    <t>EBIT Margin</t>
  </si>
  <si>
    <t>Net Income Margin</t>
  </si>
  <si>
    <t>Supplemental Ratios</t>
  </si>
  <si>
    <t>Effective Tax Rate</t>
  </si>
  <si>
    <t>SG&amp;A as % of Sales</t>
  </si>
  <si>
    <t>ROA</t>
  </si>
  <si>
    <t>ROE</t>
  </si>
  <si>
    <t>Activity Ratios</t>
  </si>
  <si>
    <t>Inventory Turnover</t>
  </si>
  <si>
    <t>Days of Inventory on Hand</t>
  </si>
  <si>
    <t>Receivables Turnover</t>
  </si>
  <si>
    <t>Days of Sales Outstanding</t>
  </si>
  <si>
    <t>Payables Turnover</t>
  </si>
  <si>
    <t>Number of Days of Payables</t>
  </si>
  <si>
    <t>Fixed asset Turnover</t>
  </si>
  <si>
    <t>Total asset Turnover</t>
  </si>
  <si>
    <t>Liquidity Ratio</t>
  </si>
  <si>
    <t>Current Ratio</t>
  </si>
  <si>
    <t>Quick Ratio</t>
  </si>
  <si>
    <t>Cash Ratio</t>
  </si>
  <si>
    <t>Cash Conversion Cycle</t>
  </si>
  <si>
    <t>Solvency Ratio</t>
  </si>
  <si>
    <t>Debt to Assets</t>
  </si>
  <si>
    <t>Debt to Capital</t>
  </si>
  <si>
    <t>Debt to Equity</t>
  </si>
  <si>
    <t>Financial Leverage</t>
  </si>
  <si>
    <t>Interest Coverage</t>
  </si>
  <si>
    <t>CAPEX as % of Sales</t>
  </si>
  <si>
    <t>Depreciation as % of Net PPE</t>
  </si>
  <si>
    <t>Set of Cases:</t>
  </si>
  <si>
    <t xml:space="preserve">Best </t>
  </si>
  <si>
    <t>Base</t>
  </si>
  <si>
    <t>Worst</t>
  </si>
  <si>
    <t>Sales Growth</t>
  </si>
  <si>
    <t>AR as % of sales</t>
  </si>
  <si>
    <t>Inventory as % of COGS</t>
  </si>
  <si>
    <t>AP as % of COGS</t>
  </si>
  <si>
    <t>Capital expenditures as % of revenue</t>
  </si>
  <si>
    <t>Tax Rate</t>
  </si>
  <si>
    <t>AR as a % of Sales</t>
  </si>
  <si>
    <t>AP as a % of Cost of Sales</t>
  </si>
  <si>
    <t>Inventory as a % of Cost of Sales</t>
  </si>
  <si>
    <t>Interest Rate on Debt</t>
  </si>
  <si>
    <t>Dividend Payout Ratio</t>
  </si>
  <si>
    <t>2015P</t>
  </si>
  <si>
    <t>Input Assumptions</t>
  </si>
  <si>
    <t>Case:</t>
  </si>
  <si>
    <t>Revenue Growth Rate</t>
  </si>
  <si>
    <t>SG&amp;A as a % of Sales</t>
  </si>
  <si>
    <t>Interest expense</t>
  </si>
  <si>
    <t>Supplemental</t>
  </si>
  <si>
    <t>Net PPE</t>
  </si>
  <si>
    <t>CAPEX</t>
  </si>
  <si>
    <t>Total Asset Growth</t>
  </si>
  <si>
    <t>Total Assets</t>
  </si>
  <si>
    <t>Total Debt</t>
  </si>
  <si>
    <t>Forecasted Dividend Per Share</t>
  </si>
  <si>
    <t>EPS</t>
  </si>
  <si>
    <t>Current P/E</t>
  </si>
  <si>
    <t>Current Price</t>
  </si>
  <si>
    <t>P/E Worst</t>
  </si>
  <si>
    <t>P/E Base</t>
  </si>
  <si>
    <t>P/E Best</t>
  </si>
  <si>
    <t>Forecasted Price</t>
  </si>
  <si>
    <t>Worst Case</t>
  </si>
  <si>
    <t>Base Case</t>
  </si>
  <si>
    <t>Best Case</t>
  </si>
  <si>
    <t>Dividend Per Share</t>
  </si>
  <si>
    <t>Discount Rate</t>
  </si>
  <si>
    <t>Terminal Value</t>
  </si>
  <si>
    <t>Growth Rate</t>
  </si>
  <si>
    <t>Terminal Growth Rate</t>
  </si>
  <si>
    <t>DDM Valuation</t>
  </si>
  <si>
    <t>Time Period</t>
  </si>
  <si>
    <t>CFO</t>
  </si>
  <si>
    <t>Free Cash Flow</t>
  </si>
  <si>
    <t>Net Income</t>
  </si>
  <si>
    <t>Depreciation</t>
  </si>
  <si>
    <t>Share Based Comp</t>
  </si>
  <si>
    <t>Accounts Receivable</t>
  </si>
  <si>
    <t>Accounts Payable</t>
  </si>
  <si>
    <t>Cost of Sales Margin</t>
  </si>
  <si>
    <t>Shares Outstanding</t>
  </si>
  <si>
    <t>Free Cash Flow Per Share</t>
  </si>
  <si>
    <t>Cash Flow Statement Schedule</t>
  </si>
  <si>
    <t>Inputs and Assumptions</t>
  </si>
  <si>
    <t>Free Cash Flow Value</t>
  </si>
  <si>
    <t>Forecasted Shares Outstanding</t>
  </si>
  <si>
    <t>Market Value ($M)</t>
  </si>
  <si>
    <t>TGT Beta</t>
  </si>
  <si>
    <t>Exp Market Return</t>
  </si>
  <si>
    <t>Risk Free Rate</t>
  </si>
  <si>
    <t>CAPM Cost of Equity</t>
  </si>
  <si>
    <t>Cost of Debt</t>
  </si>
  <si>
    <t>WACC</t>
  </si>
  <si>
    <t>Debt Value ($M)</t>
  </si>
  <si>
    <t>EV</t>
  </si>
  <si>
    <t>Debt %</t>
  </si>
  <si>
    <t>Equity %</t>
  </si>
  <si>
    <t>Equity</t>
  </si>
  <si>
    <t>Debt</t>
  </si>
  <si>
    <t>1-T</t>
  </si>
  <si>
    <t>One Time Charges (Gain)</t>
  </si>
  <si>
    <t>2016P</t>
  </si>
  <si>
    <t>2017P</t>
  </si>
  <si>
    <t>Discounted Value</t>
  </si>
  <si>
    <t>Total</t>
  </si>
  <si>
    <t>Case</t>
  </si>
  <si>
    <t>Dicontinued Operations, net of tax</t>
  </si>
  <si>
    <t>Net (loss)/earnings</t>
  </si>
  <si>
    <t>Losses from Discontinued Operations</t>
  </si>
  <si>
    <t>Net Earnings from Continued Operations</t>
  </si>
  <si>
    <t>Cash flow provided by operations - Discontinued Operations</t>
  </si>
  <si>
    <t>Cash flow provided by operations - Continuing Operations</t>
  </si>
  <si>
    <t>Cash provided by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</si>
</sst>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&quot;$&quot;#,##0.00"/>
    <numFmt numFmtId="168" formatCode="&quot;$&quot;#,##0"/>
    <numFmt numFmtId="169" formatCode="_(&quot;$&quot;* #,##0_);_(&quot;$&quot;* \(#,##0\);_(&quot;$&quot;* &quot;-&quot;??_);_(@_)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.5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10"/>
      <color rgb="FF0000FF"/>
      <name val="Arial"/>
      <family val="2"/>
    </font>
    <font>
      <sz val="10"/>
      <color rgb="FF008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89">
    <xf numFmtId="0" fontId="18" fillId="0" borderId="0" xfId="0" applyFont="1"/>
    <xf numFmtId="0" fontId="19" fillId="0" borderId="0" xfId="0" applyNumberFormat="1" applyFont="1" applyFill="1" applyBorder="1" applyAlignment="1"/>
    <xf numFmtId="0" fontId="20" fillId="0" borderId="0" xfId="0" applyFont="1"/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1" fillId="0" borderId="0" xfId="0" applyFont="1" applyFill="1" applyBorder="1" applyAlignment="1"/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/>
    <xf numFmtId="0" fontId="19" fillId="0" borderId="10" xfId="0" applyFont="1" applyFill="1" applyBorder="1" applyAlignment="1">
      <alignment horizontal="left" vertical="center"/>
    </xf>
    <xf numFmtId="0" fontId="19" fillId="0" borderId="10" xfId="0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center"/>
    </xf>
    <xf numFmtId="0" fontId="23" fillId="0" borderId="0" xfId="0" applyFont="1"/>
    <xf numFmtId="0" fontId="19" fillId="0" borderId="0" xfId="0" applyFont="1"/>
    <xf numFmtId="3" fontId="19" fillId="0" borderId="0" xfId="0" applyNumberFormat="1" applyFont="1" applyFill="1" applyBorder="1" applyAlignment="1"/>
    <xf numFmtId="0" fontId="19" fillId="0" borderId="0" xfId="0" applyNumberFormat="1" applyFont="1" applyFill="1" applyBorder="1" applyAlignment="1">
      <alignment horizontal="left" vertical="center"/>
    </xf>
    <xf numFmtId="0" fontId="19" fillId="0" borderId="10" xfId="0" applyFont="1" applyBorder="1"/>
    <xf numFmtId="0" fontId="19" fillId="0" borderId="0" xfId="0" applyFont="1" applyBorder="1"/>
    <xf numFmtId="0" fontId="19" fillId="0" borderId="12" xfId="0" applyFont="1" applyBorder="1"/>
    <xf numFmtId="0" fontId="20" fillId="0" borderId="0" xfId="0" applyNumberFormat="1" applyFont="1" applyFill="1" applyBorder="1" applyAlignment="1"/>
    <xf numFmtId="0" fontId="19" fillId="0" borderId="0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0" xfId="0" applyNumberFormat="1" applyFont="1" applyFill="1" applyBorder="1" applyAlignment="1">
      <alignment horizontal="center"/>
    </xf>
    <xf numFmtId="164" fontId="19" fillId="33" borderId="0" xfId="44" applyNumberFormat="1" applyFont="1" applyFill="1" applyBorder="1" applyAlignment="1">
      <alignment horizontal="center"/>
    </xf>
    <xf numFmtId="165" fontId="19" fillId="33" borderId="0" xfId="0" applyNumberFormat="1" applyFont="1" applyFill="1" applyBorder="1" applyAlignment="1">
      <alignment horizontal="center"/>
    </xf>
    <xf numFmtId="164" fontId="19" fillId="34" borderId="0" xfId="44" applyNumberFormat="1" applyFont="1" applyFill="1" applyBorder="1" applyAlignment="1">
      <alignment horizontal="center"/>
    </xf>
    <xf numFmtId="164" fontId="22" fillId="34" borderId="0" xfId="44" applyNumberFormat="1" applyFont="1" applyFill="1" applyBorder="1" applyAlignment="1">
      <alignment horizontal="center"/>
    </xf>
    <xf numFmtId="0" fontId="19" fillId="0" borderId="0" xfId="0" applyFont="1" applyBorder="1" applyAlignment="1">
      <alignment horizontal="center"/>
    </xf>
    <xf numFmtId="9" fontId="19" fillId="0" borderId="0" xfId="0" applyNumberFormat="1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3" fillId="0" borderId="0" xfId="0" applyNumberFormat="1" applyFont="1" applyFill="1" applyBorder="1" applyAlignment="1"/>
    <xf numFmtId="0" fontId="20" fillId="0" borderId="13" xfId="0" applyNumberFormat="1" applyFont="1" applyFill="1" applyBorder="1" applyAlignment="1">
      <alignment horizontal="center"/>
    </xf>
    <xf numFmtId="0" fontId="20" fillId="0" borderId="11" xfId="0" applyNumberFormat="1" applyFont="1" applyFill="1" applyBorder="1" applyAlignment="1">
      <alignment horizontal="center"/>
    </xf>
    <xf numFmtId="0" fontId="20" fillId="0" borderId="14" xfId="0" applyNumberFormat="1" applyFont="1" applyFill="1" applyBorder="1" applyAlignment="1">
      <alignment horizontal="center"/>
    </xf>
    <xf numFmtId="9" fontId="19" fillId="33" borderId="15" xfId="44" applyNumberFormat="1" applyFont="1" applyFill="1" applyBorder="1" applyAlignment="1">
      <alignment horizontal="center"/>
    </xf>
    <xf numFmtId="9" fontId="19" fillId="33" borderId="0" xfId="44" applyNumberFormat="1" applyFont="1" applyFill="1" applyBorder="1" applyAlignment="1">
      <alignment horizontal="center"/>
    </xf>
    <xf numFmtId="9" fontId="19" fillId="33" borderId="16" xfId="44" applyNumberFormat="1" applyFont="1" applyFill="1" applyBorder="1" applyAlignment="1">
      <alignment horizontal="center"/>
    </xf>
    <xf numFmtId="9" fontId="19" fillId="33" borderId="17" xfId="44" applyNumberFormat="1" applyFont="1" applyFill="1" applyBorder="1" applyAlignment="1">
      <alignment horizontal="center"/>
    </xf>
    <xf numFmtId="9" fontId="19" fillId="33" borderId="10" xfId="44" applyNumberFormat="1" applyFont="1" applyFill="1" applyBorder="1" applyAlignment="1">
      <alignment horizontal="center"/>
    </xf>
    <xf numFmtId="9" fontId="19" fillId="33" borderId="18" xfId="44" applyNumberFormat="1" applyFont="1" applyFill="1" applyBorder="1" applyAlignment="1">
      <alignment horizontal="center"/>
    </xf>
    <xf numFmtId="0" fontId="19" fillId="0" borderId="16" xfId="0" applyNumberFormat="1" applyFont="1" applyFill="1" applyBorder="1" applyAlignment="1"/>
    <xf numFmtId="0" fontId="19" fillId="0" borderId="0" xfId="0" applyFont="1" applyFill="1" applyBorder="1" applyAlignment="1">
      <alignment horizontal="center"/>
    </xf>
    <xf numFmtId="44" fontId="19" fillId="33" borderId="0" xfId="0" applyNumberFormat="1" applyFont="1" applyFill="1" applyBorder="1" applyAlignment="1">
      <alignment horizontal="center"/>
    </xf>
    <xf numFmtId="44" fontId="19" fillId="33" borderId="0" xfId="0" applyNumberFormat="1" applyFont="1" applyFill="1" applyBorder="1" applyAlignment="1"/>
    <xf numFmtId="44" fontId="19" fillId="33" borderId="13" xfId="0" applyNumberFormat="1" applyFont="1" applyFill="1" applyBorder="1" applyAlignment="1"/>
    <xf numFmtId="44" fontId="19" fillId="33" borderId="11" xfId="0" applyNumberFormat="1" applyFont="1" applyFill="1" applyBorder="1" applyAlignment="1"/>
    <xf numFmtId="44" fontId="19" fillId="33" borderId="14" xfId="0" applyNumberFormat="1" applyFont="1" applyFill="1" applyBorder="1" applyAlignment="1"/>
    <xf numFmtId="44" fontId="19" fillId="33" borderId="15" xfId="0" applyNumberFormat="1" applyFont="1" applyFill="1" applyBorder="1" applyAlignment="1"/>
    <xf numFmtId="44" fontId="19" fillId="33" borderId="16" xfId="0" applyNumberFormat="1" applyFont="1" applyFill="1" applyBorder="1" applyAlignment="1"/>
    <xf numFmtId="44" fontId="19" fillId="33" borderId="17" xfId="0" applyNumberFormat="1" applyFont="1" applyFill="1" applyBorder="1" applyAlignment="1"/>
    <xf numFmtId="44" fontId="19" fillId="33" borderId="10" xfId="0" applyNumberFormat="1" applyFont="1" applyFill="1" applyBorder="1" applyAlignment="1"/>
    <xf numFmtId="44" fontId="19" fillId="33" borderId="18" xfId="0" applyNumberFormat="1" applyFont="1" applyFill="1" applyBorder="1" applyAlignment="1"/>
    <xf numFmtId="0" fontId="24" fillId="0" borderId="0" xfId="0" applyFont="1"/>
    <xf numFmtId="0" fontId="20" fillId="0" borderId="0" xfId="0" applyNumberFormat="1" applyFont="1" applyFill="1" applyBorder="1" applyAlignment="1">
      <alignment horizontal="left"/>
    </xf>
    <xf numFmtId="0" fontId="19" fillId="0" borderId="12" xfId="0" applyNumberFormat="1" applyFont="1" applyFill="1" applyBorder="1" applyAlignment="1"/>
    <xf numFmtId="3" fontId="19" fillId="33" borderId="0" xfId="0" applyNumberFormat="1" applyFont="1" applyFill="1" applyBorder="1" applyAlignment="1">
      <alignment horizontal="center"/>
    </xf>
    <xf numFmtId="0" fontId="19" fillId="0" borderId="10" xfId="0" applyNumberFormat="1" applyFont="1" applyFill="1" applyBorder="1" applyAlignment="1">
      <alignment horizontal="center"/>
    </xf>
    <xf numFmtId="168" fontId="19" fillId="34" borderId="0" xfId="0" applyNumberFormat="1" applyFont="1" applyFill="1" applyBorder="1" applyAlignment="1">
      <alignment horizontal="center"/>
    </xf>
    <xf numFmtId="168" fontId="19" fillId="33" borderId="10" xfId="0" applyNumberFormat="1" applyFont="1" applyFill="1" applyBorder="1" applyAlignment="1">
      <alignment horizontal="center"/>
    </xf>
    <xf numFmtId="168" fontId="19" fillId="34" borderId="12" xfId="0" applyNumberFormat="1" applyFont="1" applyFill="1" applyBorder="1" applyAlignment="1">
      <alignment horizontal="center"/>
    </xf>
    <xf numFmtId="167" fontId="19" fillId="33" borderId="0" xfId="0" applyNumberFormat="1" applyFont="1" applyFill="1" applyBorder="1" applyAlignment="1">
      <alignment horizontal="center"/>
    </xf>
    <xf numFmtId="1" fontId="19" fillId="33" borderId="0" xfId="0" applyNumberFormat="1" applyFont="1" applyFill="1" applyBorder="1" applyAlignment="1">
      <alignment horizontal="center"/>
    </xf>
    <xf numFmtId="1" fontId="19" fillId="34" borderId="0" xfId="0" applyNumberFormat="1" applyFont="1" applyFill="1" applyBorder="1" applyAlignment="1">
      <alignment horizontal="center"/>
    </xf>
    <xf numFmtId="1" fontId="19" fillId="34" borderId="10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3" fontId="19" fillId="34" borderId="10" xfId="0" applyNumberFormat="1" applyFont="1" applyFill="1" applyBorder="1" applyAlignment="1">
      <alignment horizontal="center"/>
    </xf>
    <xf numFmtId="3" fontId="22" fillId="34" borderId="11" xfId="0" applyNumberFormat="1" applyFont="1" applyFill="1" applyBorder="1" applyAlignment="1">
      <alignment horizontal="center"/>
    </xf>
    <xf numFmtId="3" fontId="19" fillId="33" borderId="11" xfId="0" applyNumberFormat="1" applyFont="1" applyFill="1" applyBorder="1" applyAlignment="1">
      <alignment horizontal="center"/>
    </xf>
    <xf numFmtId="3" fontId="19" fillId="34" borderId="11" xfId="0" applyNumberFormat="1" applyFont="1" applyFill="1" applyBorder="1" applyAlignment="1">
      <alignment horizontal="center"/>
    </xf>
    <xf numFmtId="3" fontId="19" fillId="33" borderId="10" xfId="0" applyNumberFormat="1" applyFont="1" applyFill="1" applyBorder="1" applyAlignment="1">
      <alignment horizontal="center"/>
    </xf>
    <xf numFmtId="2" fontId="19" fillId="33" borderId="0" xfId="1" applyNumberFormat="1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165" fontId="22" fillId="33" borderId="0" xfId="0" applyNumberFormat="1" applyFont="1" applyFill="1" applyBorder="1" applyAlignment="1">
      <alignment horizontal="center"/>
    </xf>
    <xf numFmtId="9" fontId="18" fillId="33" borderId="0" xfId="44" applyFont="1" applyFill="1"/>
    <xf numFmtId="9" fontId="18" fillId="0" borderId="0" xfId="0" applyNumberFormat="1" applyFont="1"/>
    <xf numFmtId="0" fontId="18" fillId="0" borderId="0" xfId="0" applyNumberFormat="1" applyFont="1"/>
    <xf numFmtId="164" fontId="18" fillId="33" borderId="0" xfId="44" applyNumberFormat="1" applyFont="1" applyFill="1"/>
    <xf numFmtId="9" fontId="19" fillId="33" borderId="0" xfId="0" applyNumberFormat="1" applyFont="1" applyFill="1" applyBorder="1" applyAlignment="1">
      <alignment horizontal="center"/>
    </xf>
    <xf numFmtId="0" fontId="18" fillId="0" borderId="0" xfId="0" applyNumberFormat="1" applyFont="1" applyFill="1" applyBorder="1" applyAlignment="1"/>
    <xf numFmtId="9" fontId="18" fillId="0" borderId="0" xfId="0" applyNumberFormat="1" applyFont="1" applyFill="1" applyBorder="1" applyAlignment="1">
      <alignment horizontal="center"/>
    </xf>
    <xf numFmtId="44" fontId="18" fillId="34" borderId="0" xfId="0" applyNumberFormat="1" applyFont="1" applyFill="1" applyBorder="1" applyAlignment="1">
      <alignment horizontal="center"/>
    </xf>
    <xf numFmtId="44" fontId="18" fillId="0" borderId="0" xfId="0" applyNumberFormat="1" applyFont="1" applyFill="1" applyBorder="1" applyAlignment="1">
      <alignment horizontal="center"/>
    </xf>
    <xf numFmtId="43" fontId="18" fillId="33" borderId="0" xfId="0" applyNumberFormat="1" applyFont="1" applyFill="1" applyBorder="1" applyAlignment="1">
      <alignment horizontal="center"/>
    </xf>
    <xf numFmtId="9" fontId="18" fillId="33" borderId="0" xfId="44" applyFont="1" applyFill="1" applyBorder="1" applyAlignment="1">
      <alignment horizontal="center"/>
    </xf>
    <xf numFmtId="0" fontId="18" fillId="0" borderId="0" xfId="0" applyNumberFormat="1" applyFont="1" applyFill="1" applyBorder="1" applyAlignment="1">
      <alignment horizontal="center"/>
    </xf>
    <xf numFmtId="44" fontId="18" fillId="33" borderId="0" xfId="0" applyNumberFormat="1" applyFont="1" applyFill="1" applyBorder="1" applyAlignment="1">
      <alignment horizontal="center"/>
    </xf>
    <xf numFmtId="8" fontId="18" fillId="0" borderId="0" xfId="0" applyNumberFormat="1" applyFont="1"/>
    <xf numFmtId="169" fontId="18" fillId="33" borderId="0" xfId="0" applyNumberFormat="1" applyFont="1" applyFill="1"/>
    <xf numFmtId="166" fontId="19" fillId="33" borderId="10" xfId="43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3" fontId="18" fillId="0" borderId="10" xfId="0" applyNumberFormat="1" applyFont="1" applyFill="1" applyBorder="1" applyAlignment="1">
      <alignment horizontal="center"/>
    </xf>
    <xf numFmtId="3" fontId="18" fillId="0" borderId="0" xfId="0" applyNumberFormat="1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8" fillId="0" borderId="10" xfId="0" applyNumberFormat="1" applyFont="1" applyFill="1" applyBorder="1" applyAlignment="1">
      <alignment horizontal="center"/>
    </xf>
    <xf numFmtId="0" fontId="18" fillId="0" borderId="10" xfId="0" applyNumberFormat="1" applyFont="1" applyFill="1" applyBorder="1" applyAlignment="1">
      <alignment horizontal="left" vertical="center"/>
    </xf>
    <xf numFmtId="3" fontId="18" fillId="34" borderId="11" xfId="0" applyNumberFormat="1" applyFont="1" applyFill="1" applyBorder="1" applyAlignment="1">
      <alignment horizontal="center"/>
    </xf>
    <xf numFmtId="3" fontId="18" fillId="0" borderId="0" xfId="0" applyNumberFormat="1" applyFont="1" applyFill="1" applyBorder="1" applyAlignment="1"/>
    <xf numFmtId="3" fontId="22" fillId="0" borderId="0" xfId="0" applyNumberFormat="1" applyFont="1" applyFill="1" applyBorder="1" applyAlignment="1"/>
    <xf numFmtId="9" fontId="18" fillId="0" borderId="0" xfId="0" applyNumberFormat="1" applyFont="1" applyFill="1" applyBorder="1" applyAlignment="1"/>
    <xf numFmtId="9" fontId="18" fillId="0" borderId="15" xfId="0" applyNumberFormat="1" applyFont="1" applyFill="1" applyBorder="1" applyAlignment="1">
      <alignment horizontal="center"/>
    </xf>
    <xf numFmtId="9" fontId="18" fillId="0" borderId="16" xfId="0" applyNumberFormat="1" applyFont="1" applyFill="1" applyBorder="1" applyAlignment="1">
      <alignment horizontal="center"/>
    </xf>
    <xf numFmtId="9" fontId="18" fillId="0" borderId="15" xfId="44" applyNumberFormat="1" applyFont="1" applyFill="1" applyBorder="1" applyAlignment="1">
      <alignment horizontal="center"/>
    </xf>
    <xf numFmtId="9" fontId="18" fillId="0" borderId="0" xfId="44" applyNumberFormat="1" applyFont="1" applyFill="1" applyBorder="1" applyAlignment="1">
      <alignment horizontal="center"/>
    </xf>
    <xf numFmtId="9" fontId="18" fillId="0" borderId="16" xfId="44" applyNumberFormat="1" applyFont="1" applyFill="1" applyBorder="1" applyAlignment="1">
      <alignment horizontal="center"/>
    </xf>
    <xf numFmtId="9" fontId="18" fillId="0" borderId="17" xfId="0" applyNumberFormat="1" applyFont="1" applyFill="1" applyBorder="1" applyAlignment="1">
      <alignment horizontal="center"/>
    </xf>
    <xf numFmtId="9" fontId="18" fillId="0" borderId="10" xfId="0" applyNumberFormat="1" applyFont="1" applyFill="1" applyBorder="1" applyAlignment="1">
      <alignment horizontal="center"/>
    </xf>
    <xf numFmtId="9" fontId="18" fillId="0" borderId="18" xfId="0" applyNumberFormat="1" applyFont="1" applyFill="1" applyBorder="1" applyAlignment="1">
      <alignment horizontal="center"/>
    </xf>
    <xf numFmtId="44" fontId="18" fillId="0" borderId="0" xfId="1" applyNumberFormat="1" applyFont="1" applyFill="1" applyBorder="1" applyAlignment="1"/>
    <xf numFmtId="9" fontId="18" fillId="33" borderId="0" xfId="0" applyNumberFormat="1" applyFont="1" applyFill="1"/>
    <xf numFmtId="164" fontId="18" fillId="33" borderId="0" xfId="0" applyNumberFormat="1" applyFont="1" applyFill="1"/>
    <xf numFmtId="3" fontId="18" fillId="0" borderId="0" xfId="0" applyNumberFormat="1" applyFont="1" applyAlignment="1">
      <alignment horizontal="center"/>
    </xf>
    <xf numFmtId="3" fontId="18" fillId="0" borderId="10" xfId="0" applyNumberFormat="1" applyFont="1" applyBorder="1" applyAlignment="1">
      <alignment horizontal="center"/>
    </xf>
    <xf numFmtId="3" fontId="18" fillId="33" borderId="11" xfId="0" applyNumberFormat="1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3" fontId="18" fillId="33" borderId="12" xfId="0" applyNumberFormat="1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165" fontId="25" fillId="0" borderId="0" xfId="0" applyNumberFormat="1" applyFont="1" applyFill="1" applyBorder="1" applyAlignment="1">
      <alignment horizontal="center"/>
    </xf>
    <xf numFmtId="0" fontId="18" fillId="0" borderId="20" xfId="0" applyNumberFormat="1" applyFont="1" applyFill="1" applyBorder="1" applyAlignment="1">
      <alignment horizontal="center"/>
    </xf>
    <xf numFmtId="2" fontId="18" fillId="33" borderId="21" xfId="0" applyNumberFormat="1" applyFont="1" applyFill="1" applyBorder="1" applyAlignment="1">
      <alignment horizontal="center"/>
    </xf>
    <xf numFmtId="0" fontId="26" fillId="0" borderId="13" xfId="0" applyNumberFormat="1" applyFont="1" applyFill="1" applyBorder="1" applyAlignment="1">
      <alignment horizontal="center"/>
    </xf>
    <xf numFmtId="0" fontId="26" fillId="0" borderId="11" xfId="0" applyNumberFormat="1" applyFont="1" applyFill="1" applyBorder="1" applyAlignment="1">
      <alignment horizontal="center"/>
    </xf>
    <xf numFmtId="0" fontId="26" fillId="0" borderId="14" xfId="0" applyNumberFormat="1" applyFont="1" applyFill="1" applyBorder="1" applyAlignment="1">
      <alignment horizontal="center"/>
    </xf>
    <xf numFmtId="2" fontId="18" fillId="33" borderId="17" xfId="0" applyNumberFormat="1" applyFont="1" applyFill="1" applyBorder="1" applyAlignment="1">
      <alignment horizontal="center"/>
    </xf>
    <xf numFmtId="2" fontId="18" fillId="33" borderId="10" xfId="0" applyNumberFormat="1" applyFont="1" applyFill="1" applyBorder="1" applyAlignment="1">
      <alignment horizontal="center"/>
    </xf>
    <xf numFmtId="2" fontId="18" fillId="33" borderId="18" xfId="0" applyNumberFormat="1" applyFont="1" applyFill="1" applyBorder="1" applyAlignment="1">
      <alignment horizontal="center"/>
    </xf>
    <xf numFmtId="0" fontId="20" fillId="0" borderId="15" xfId="0" applyNumberFormat="1" applyFont="1" applyFill="1" applyBorder="1" applyAlignment="1">
      <alignment horizontal="center"/>
    </xf>
    <xf numFmtId="0" fontId="27" fillId="35" borderId="10" xfId="0" applyNumberFormat="1" applyFont="1" applyFill="1" applyBorder="1" applyAlignment="1"/>
    <xf numFmtId="0" fontId="18" fillId="36" borderId="19" xfId="0" applyNumberFormat="1" applyFont="1" applyFill="1" applyBorder="1" applyAlignment="1"/>
    <xf numFmtId="165" fontId="18" fillId="34" borderId="0" xfId="0" applyNumberFormat="1" applyFont="1" applyFill="1" applyBorder="1" applyAlignment="1">
      <alignment horizontal="center"/>
    </xf>
    <xf numFmtId="165" fontId="22" fillId="34" borderId="0" xfId="0" applyNumberFormat="1" applyFont="1" applyFill="1" applyBorder="1" applyAlignment="1">
      <alignment horizontal="center"/>
    </xf>
    <xf numFmtId="0" fontId="21" fillId="0" borderId="15" xfId="0" applyFont="1" applyFill="1" applyBorder="1" applyAlignment="1"/>
    <xf numFmtId="0" fontId="21" fillId="0" borderId="16" xfId="0" applyFont="1" applyFill="1" applyBorder="1" applyAlignment="1"/>
    <xf numFmtId="3" fontId="19" fillId="33" borderId="15" xfId="0" applyNumberFormat="1" applyFont="1" applyFill="1" applyBorder="1" applyAlignment="1">
      <alignment horizontal="center"/>
    </xf>
    <xf numFmtId="3" fontId="19" fillId="33" borderId="16" xfId="0" applyNumberFormat="1" applyFont="1" applyFill="1" applyBorder="1" applyAlignment="1">
      <alignment horizontal="center"/>
    </xf>
    <xf numFmtId="3" fontId="19" fillId="34" borderId="15" xfId="0" applyNumberFormat="1" applyFont="1" applyFill="1" applyBorder="1" applyAlignment="1">
      <alignment horizontal="center"/>
    </xf>
    <xf numFmtId="3" fontId="19" fillId="34" borderId="18" xfId="0" applyNumberFormat="1" applyFont="1" applyFill="1" applyBorder="1" applyAlignment="1">
      <alignment horizontal="center"/>
    </xf>
    <xf numFmtId="3" fontId="22" fillId="34" borderId="13" xfId="0" applyNumberFormat="1" applyFont="1" applyFill="1" applyBorder="1" applyAlignment="1">
      <alignment horizontal="center"/>
    </xf>
    <xf numFmtId="3" fontId="22" fillId="34" borderId="14" xfId="0" applyNumberFormat="1" applyFont="1" applyFill="1" applyBorder="1" applyAlignment="1">
      <alignment horizontal="center"/>
    </xf>
    <xf numFmtId="0" fontId="19" fillId="0" borderId="15" xfId="0" applyNumberFormat="1" applyFont="1" applyFill="1" applyBorder="1" applyAlignment="1">
      <alignment horizontal="center"/>
    </xf>
    <xf numFmtId="0" fontId="19" fillId="0" borderId="18" xfId="0" applyNumberFormat="1" applyFont="1" applyFill="1" applyBorder="1" applyAlignment="1">
      <alignment horizontal="center"/>
    </xf>
    <xf numFmtId="3" fontId="19" fillId="33" borderId="13" xfId="0" applyNumberFormat="1" applyFont="1" applyFill="1" applyBorder="1" applyAlignment="1">
      <alignment horizontal="center"/>
    </xf>
    <xf numFmtId="3" fontId="19" fillId="33" borderId="14" xfId="0" applyNumberFormat="1" applyFont="1" applyFill="1" applyBorder="1" applyAlignment="1">
      <alignment horizontal="center"/>
    </xf>
    <xf numFmtId="3" fontId="19" fillId="34" borderId="13" xfId="0" applyNumberFormat="1" applyFont="1" applyFill="1" applyBorder="1" applyAlignment="1">
      <alignment horizontal="center"/>
    </xf>
    <xf numFmtId="3" fontId="19" fillId="34" borderId="14" xfId="0" applyNumberFormat="1" applyFont="1" applyFill="1" applyBorder="1" applyAlignment="1">
      <alignment horizontal="center"/>
    </xf>
    <xf numFmtId="166" fontId="19" fillId="33" borderId="15" xfId="43" applyNumberFormat="1" applyFont="1" applyFill="1" applyBorder="1" applyAlignment="1">
      <alignment horizontal="center" vertical="center"/>
    </xf>
    <xf numFmtId="166" fontId="19" fillId="33" borderId="18" xfId="43" applyNumberFormat="1" applyFont="1" applyFill="1" applyBorder="1" applyAlignment="1">
      <alignment horizontal="center" vertical="center"/>
    </xf>
    <xf numFmtId="3" fontId="19" fillId="33" borderId="18" xfId="0" applyNumberFormat="1" applyFont="1" applyFill="1" applyBorder="1" applyAlignment="1">
      <alignment horizontal="center"/>
    </xf>
    <xf numFmtId="2" fontId="19" fillId="33" borderId="15" xfId="1" applyNumberFormat="1" applyFont="1" applyFill="1" applyBorder="1" applyAlignment="1">
      <alignment horizontal="center"/>
    </xf>
    <xf numFmtId="2" fontId="19" fillId="33" borderId="16" xfId="1" applyNumberFormat="1" applyFont="1" applyFill="1" applyBorder="1" applyAlignment="1">
      <alignment horizontal="center"/>
    </xf>
    <xf numFmtId="0" fontId="21" fillId="0" borderId="15" xfId="0" applyFont="1" applyFill="1" applyBorder="1" applyAlignment="1">
      <alignment horizontal="center"/>
    </xf>
    <xf numFmtId="0" fontId="21" fillId="0" borderId="16" xfId="0" applyFont="1" applyFill="1" applyBorder="1" applyAlignment="1">
      <alignment horizontal="center"/>
    </xf>
    <xf numFmtId="165" fontId="22" fillId="33" borderId="15" xfId="0" applyNumberFormat="1" applyFont="1" applyFill="1" applyBorder="1" applyAlignment="1">
      <alignment horizontal="center"/>
    </xf>
    <xf numFmtId="165" fontId="22" fillId="33" borderId="16" xfId="0" applyNumberFormat="1" applyFont="1" applyFill="1" applyBorder="1" applyAlignment="1">
      <alignment horizontal="center"/>
    </xf>
    <xf numFmtId="0" fontId="19" fillId="0" borderId="15" xfId="0" applyFont="1" applyFill="1" applyBorder="1" applyAlignment="1">
      <alignment horizontal="center"/>
    </xf>
    <xf numFmtId="0" fontId="19" fillId="0" borderId="16" xfId="0" applyFont="1" applyFill="1" applyBorder="1" applyAlignment="1">
      <alignment horizontal="center"/>
    </xf>
    <xf numFmtId="0" fontId="18" fillId="0" borderId="17" xfId="0" applyNumberFormat="1" applyFont="1" applyFill="1" applyBorder="1" applyAlignment="1">
      <alignment horizontal="center"/>
    </xf>
    <xf numFmtId="0" fontId="18" fillId="0" borderId="18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>
      <alignment horizontal="center"/>
    </xf>
    <xf numFmtId="164" fontId="22" fillId="34" borderId="0" xfId="44" applyNumberFormat="1" applyFont="1" applyFill="1" applyBorder="1" applyAlignment="1"/>
    <xf numFmtId="0" fontId="20" fillId="0" borderId="0" xfId="0" applyNumberFormat="1" applyFont="1" applyFill="1" applyBorder="1" applyAlignment="1">
      <alignment horizontal="left" vertical="center"/>
    </xf>
    <xf numFmtId="2" fontId="22" fillId="34" borderId="0" xfId="1" applyNumberFormat="1" applyFont="1" applyFill="1" applyBorder="1" applyAlignment="1">
      <alignment horizontal="center"/>
    </xf>
    <xf numFmtId="0" fontId="19" fillId="0" borderId="0" xfId="0" applyFont="1" applyFill="1"/>
    <xf numFmtId="0" fontId="18" fillId="0" borderId="12" xfId="0" applyNumberFormat="1" applyFont="1" applyFill="1" applyBorder="1" applyAlignment="1"/>
    <xf numFmtId="0" fontId="18" fillId="0" borderId="0" xfId="0" applyFont="1" applyBorder="1"/>
    <xf numFmtId="0" fontId="18" fillId="0" borderId="10" xfId="0" applyNumberFormat="1" applyFont="1" applyFill="1" applyBorder="1" applyAlignment="1"/>
    <xf numFmtId="3" fontId="18" fillId="34" borderId="10" xfId="0" applyNumberFormat="1" applyFont="1" applyFill="1" applyBorder="1" applyAlignment="1">
      <alignment horizontal="center"/>
    </xf>
    <xf numFmtId="3" fontId="18" fillId="0" borderId="12" xfId="0" applyNumberFormat="1" applyFont="1" applyFill="1" applyBorder="1" applyAlignment="1">
      <alignment horizontal="center"/>
    </xf>
    <xf numFmtId="3" fontId="18" fillId="34" borderId="15" xfId="0" applyNumberFormat="1" applyFont="1" applyFill="1" applyBorder="1" applyAlignment="1">
      <alignment horizontal="center"/>
    </xf>
    <xf numFmtId="3" fontId="22" fillId="34" borderId="15" xfId="0" applyNumberFormat="1" applyFont="1" applyFill="1" applyBorder="1" applyAlignment="1">
      <alignment horizontal="center"/>
    </xf>
    <xf numFmtId="3" fontId="19" fillId="34" borderId="0" xfId="0" applyNumberFormat="1" applyFont="1" applyFill="1" applyBorder="1" applyAlignment="1">
      <alignment horizontal="center"/>
    </xf>
    <xf numFmtId="3" fontId="19" fillId="34" borderId="16" xfId="0" applyNumberFormat="1" applyFont="1" applyFill="1" applyBorder="1" applyAlignment="1">
      <alignment horizontal="center"/>
    </xf>
    <xf numFmtId="166" fontId="19" fillId="33" borderId="15" xfId="43" applyNumberFormat="1" applyFont="1" applyFill="1" applyBorder="1" applyAlignment="1">
      <alignment horizontal="center"/>
    </xf>
    <xf numFmtId="166" fontId="19" fillId="33" borderId="0" xfId="43" applyNumberFormat="1" applyFont="1" applyFill="1" applyBorder="1" applyAlignment="1">
      <alignment horizontal="center"/>
    </xf>
    <xf numFmtId="166" fontId="19" fillId="33" borderId="16" xfId="43" applyNumberFormat="1" applyFont="1" applyFill="1" applyBorder="1" applyAlignment="1">
      <alignment horizontal="center"/>
    </xf>
    <xf numFmtId="43" fontId="19" fillId="33" borderId="15" xfId="43" applyNumberFormat="1" applyFont="1" applyFill="1" applyBorder="1" applyAlignment="1">
      <alignment horizontal="center"/>
    </xf>
    <xf numFmtId="43" fontId="19" fillId="33" borderId="0" xfId="43" applyNumberFormat="1" applyFont="1" applyFill="1" applyBorder="1" applyAlignment="1">
      <alignment horizontal="center"/>
    </xf>
    <xf numFmtId="43" fontId="19" fillId="33" borderId="16" xfId="43" applyNumberFormat="1" applyFont="1" applyFill="1" applyBorder="1" applyAlignment="1">
      <alignment horizontal="center"/>
    </xf>
    <xf numFmtId="165" fontId="28" fillId="34" borderId="17" xfId="0" applyNumberFormat="1" applyFont="1" applyFill="1" applyBorder="1" applyAlignment="1">
      <alignment horizontal="center"/>
    </xf>
    <xf numFmtId="165" fontId="28" fillId="34" borderId="10" xfId="0" applyNumberFormat="1" applyFont="1" applyFill="1" applyBorder="1" applyAlignment="1">
      <alignment horizontal="center"/>
    </xf>
    <xf numFmtId="165" fontId="28" fillId="34" borderId="18" xfId="0" applyNumberFormat="1" applyFont="1" applyFill="1" applyBorder="1" applyAlignment="1">
      <alignment horizontal="center"/>
    </xf>
    <xf numFmtId="9" fontId="18" fillId="34" borderId="0" xfId="44" applyNumberFormat="1" applyFont="1" applyFill="1" applyBorder="1" applyAlignment="1">
      <alignment horizontal="center"/>
    </xf>
    <xf numFmtId="169" fontId="22" fillId="34" borderId="0" xfId="0" applyNumberFormat="1" applyFont="1" applyFill="1" applyBorder="1" applyAlignment="1"/>
    <xf numFmtId="0" fontId="20" fillId="0" borderId="0" xfId="0" applyNumberFormat="1" applyFont="1" applyFill="1" applyBorder="1" applyAlignment="1">
      <alignment horizontal="center"/>
    </xf>
    <xf numFmtId="3" fontId="18" fillId="34" borderId="0" xfId="0" applyNumberFormat="1" applyFont="1" applyFill="1" applyAlignment="1">
      <alignment horizontal="center"/>
    </xf>
    <xf numFmtId="3" fontId="18" fillId="33" borderId="0" xfId="0" applyNumberFormat="1" applyFont="1" applyFill="1" applyAlignment="1">
      <alignment horizontal="center"/>
    </xf>
    <xf numFmtId="3" fontId="22" fillId="33" borderId="0" xfId="0" applyNumberFormat="1" applyFont="1" applyFill="1" applyAlignment="1">
      <alignment horizontal="center"/>
    </xf>
    <xf numFmtId="3" fontId="22" fillId="34" borderId="0" xfId="0" applyNumberFormat="1" applyFont="1" applyFill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zoomScaleNormal="100" workbookViewId="0">
      <pane ySplit="4" topLeftCell="A5" activePane="bottomLeft" state="frozen"/>
      <selection pane="bottomLeft" activeCell="B8" sqref="B8"/>
    </sheetView>
  </sheetViews>
  <sheetFormatPr defaultColWidth="21.28515625" defaultRowHeight="12.75" x14ac:dyDescent="0.2"/>
  <cols>
    <col min="1" max="1" width="40.7109375" style="8" bestFit="1" customWidth="1"/>
    <col min="2" max="5" width="9.42578125" style="8" customWidth="1"/>
    <col min="6" max="6" width="10.5703125" style="13" customWidth="1"/>
    <col min="7" max="16384" width="21.28515625" style="8"/>
  </cols>
  <sheetData>
    <row r="1" spans="1:8" x14ac:dyDescent="0.2">
      <c r="A1" s="1" t="s">
        <v>0</v>
      </c>
      <c r="B1" s="1" t="s">
        <v>19</v>
      </c>
      <c r="C1" s="1"/>
      <c r="D1" s="1"/>
      <c r="E1" s="1"/>
    </row>
    <row r="2" spans="1:8" x14ac:dyDescent="0.2">
      <c r="A2" s="1" t="s">
        <v>1</v>
      </c>
      <c r="B2" s="1" t="s">
        <v>20</v>
      </c>
      <c r="C2" s="1"/>
      <c r="D2" s="1"/>
      <c r="E2" s="1"/>
    </row>
    <row r="4" spans="1:8" x14ac:dyDescent="0.2">
      <c r="A4" s="3" t="s">
        <v>4</v>
      </c>
      <c r="B4" s="89">
        <v>2011</v>
      </c>
      <c r="C4" s="89">
        <v>2012</v>
      </c>
      <c r="D4" s="89">
        <v>2013</v>
      </c>
      <c r="E4" s="89">
        <v>2014</v>
      </c>
      <c r="F4" s="8"/>
      <c r="G4" s="5"/>
      <c r="H4" s="4"/>
    </row>
    <row r="5" spans="1:8" x14ac:dyDescent="0.2">
      <c r="A5" s="6"/>
      <c r="B5" s="6"/>
      <c r="C5" s="6"/>
      <c r="D5" s="6"/>
      <c r="E5" s="6"/>
      <c r="F5" s="8"/>
      <c r="G5" s="6"/>
    </row>
    <row r="6" spans="1:8" x14ac:dyDescent="0.2">
      <c r="A6" s="7" t="s">
        <v>5</v>
      </c>
      <c r="B6" s="91">
        <v>68466</v>
      </c>
      <c r="C6" s="91">
        <v>71960</v>
      </c>
      <c r="D6" s="91">
        <v>70626</v>
      </c>
      <c r="E6" s="91">
        <v>71936</v>
      </c>
      <c r="F6" s="97"/>
    </row>
    <row r="7" spans="1:8" x14ac:dyDescent="0.2">
      <c r="A7" s="9" t="s">
        <v>6</v>
      </c>
      <c r="B7" s="90">
        <v>1399</v>
      </c>
      <c r="C7" s="90">
        <v>1341</v>
      </c>
      <c r="D7" s="90">
        <v>653</v>
      </c>
      <c r="E7" s="90">
        <v>682</v>
      </c>
      <c r="F7" s="8"/>
    </row>
    <row r="8" spans="1:8" x14ac:dyDescent="0.2">
      <c r="A8" s="7" t="s">
        <v>7</v>
      </c>
      <c r="B8" s="183">
        <f t="shared" ref="B8" si="0">SUM(B6:B7)</f>
        <v>69865</v>
      </c>
      <c r="C8" s="183">
        <f>SUM(C6:C7)</f>
        <v>73301</v>
      </c>
      <c r="D8" s="183">
        <f>SUM(D6:D7)</f>
        <v>71279</v>
      </c>
      <c r="E8" s="183">
        <f>SUM(E6:E7)</f>
        <v>72618</v>
      </c>
      <c r="F8" s="8"/>
    </row>
    <row r="9" spans="1:8" x14ac:dyDescent="0.2">
      <c r="A9" s="9" t="s">
        <v>2</v>
      </c>
      <c r="B9" s="90">
        <v>47860</v>
      </c>
      <c r="C9" s="90">
        <v>50568</v>
      </c>
      <c r="D9" s="90">
        <v>50039</v>
      </c>
      <c r="E9" s="90">
        <v>51278</v>
      </c>
      <c r="F9" s="8"/>
    </row>
    <row r="10" spans="1:8" x14ac:dyDescent="0.2">
      <c r="A10" s="15" t="s">
        <v>3</v>
      </c>
      <c r="B10" s="184">
        <f t="shared" ref="B10" si="1">B8-B9</f>
        <v>22005</v>
      </c>
      <c r="C10" s="184">
        <f>C8-C9</f>
        <v>22733</v>
      </c>
      <c r="D10" s="184">
        <f>D8-D9</f>
        <v>21240</v>
      </c>
      <c r="E10" s="184">
        <f>E8-E9</f>
        <v>21340</v>
      </c>
      <c r="F10" s="8"/>
    </row>
    <row r="11" spans="1:8" x14ac:dyDescent="0.2">
      <c r="A11" s="7" t="s">
        <v>8</v>
      </c>
      <c r="B11" s="91">
        <v>14106</v>
      </c>
      <c r="C11" s="91">
        <v>14643</v>
      </c>
      <c r="D11" s="91">
        <v>14465</v>
      </c>
      <c r="E11" s="91">
        <v>14676</v>
      </c>
      <c r="F11" s="97"/>
    </row>
    <row r="12" spans="1:8" x14ac:dyDescent="0.2">
      <c r="A12" s="9" t="s">
        <v>9</v>
      </c>
      <c r="B12" s="92">
        <v>446</v>
      </c>
      <c r="C12" s="92">
        <v>467</v>
      </c>
      <c r="D12" s="92">
        <v>0</v>
      </c>
      <c r="E12" s="92">
        <v>0</v>
      </c>
      <c r="F12" s="8"/>
    </row>
    <row r="13" spans="1:8" x14ac:dyDescent="0.2">
      <c r="A13" s="15" t="s">
        <v>16</v>
      </c>
      <c r="B13" s="184">
        <f>B10-SUM(B11:B12)</f>
        <v>7453</v>
      </c>
      <c r="C13" s="184">
        <f>C10-SUM(C11:C12)</f>
        <v>7623</v>
      </c>
      <c r="D13" s="184">
        <f>D10-SUM(D11:D12)</f>
        <v>6775</v>
      </c>
      <c r="E13" s="184">
        <f>E10-SUM(E11:E12)</f>
        <v>6664</v>
      </c>
      <c r="F13" s="8"/>
    </row>
    <row r="14" spans="1:8" x14ac:dyDescent="0.2">
      <c r="A14" s="7" t="s">
        <v>10</v>
      </c>
      <c r="B14" s="91">
        <v>2131</v>
      </c>
      <c r="C14" s="91">
        <v>2044</v>
      </c>
      <c r="D14" s="91">
        <v>1996</v>
      </c>
      <c r="E14" s="91">
        <v>2129</v>
      </c>
      <c r="F14" s="8"/>
    </row>
    <row r="15" spans="1:8" x14ac:dyDescent="0.2">
      <c r="A15" s="7" t="s">
        <v>11</v>
      </c>
      <c r="B15" s="84">
        <v>0</v>
      </c>
      <c r="C15" s="84">
        <v>0</v>
      </c>
      <c r="D15" s="84">
        <v>0</v>
      </c>
      <c r="E15" s="84">
        <v>0</v>
      </c>
      <c r="F15" s="8"/>
      <c r="H15" s="1"/>
    </row>
    <row r="16" spans="1:8" x14ac:dyDescent="0.2">
      <c r="A16" s="94" t="s">
        <v>190</v>
      </c>
      <c r="B16" s="84">
        <v>0</v>
      </c>
      <c r="C16" s="84">
        <v>-161</v>
      </c>
      <c r="D16" s="84">
        <v>-391</v>
      </c>
      <c r="E16" s="84">
        <v>0</v>
      </c>
      <c r="F16" s="8"/>
      <c r="H16" s="1"/>
    </row>
    <row r="17" spans="1:8" x14ac:dyDescent="0.2">
      <c r="A17" s="15" t="s">
        <v>17</v>
      </c>
      <c r="B17" s="95">
        <f>B13-B14+B15-B16</f>
        <v>5322</v>
      </c>
      <c r="C17" s="95">
        <f t="shared" ref="C17:E17" si="2">C13-C14+C15-C16</f>
        <v>5740</v>
      </c>
      <c r="D17" s="95">
        <f t="shared" si="2"/>
        <v>5170</v>
      </c>
      <c r="E17" s="95">
        <f t="shared" si="2"/>
        <v>4535</v>
      </c>
      <c r="F17" s="8"/>
      <c r="H17" s="14"/>
    </row>
    <row r="18" spans="1:8" x14ac:dyDescent="0.2">
      <c r="A18" s="10" t="s">
        <v>137</v>
      </c>
      <c r="B18" s="92">
        <v>866</v>
      </c>
      <c r="C18" s="92">
        <v>684</v>
      </c>
      <c r="D18" s="92">
        <v>1049</v>
      </c>
      <c r="E18" s="92">
        <v>882</v>
      </c>
      <c r="F18" s="8"/>
      <c r="H18" s="14"/>
    </row>
    <row r="19" spans="1:8" x14ac:dyDescent="0.2">
      <c r="A19" s="15" t="s">
        <v>18</v>
      </c>
      <c r="B19" s="184">
        <f t="shared" ref="B19" si="3">B17-B18</f>
        <v>4456</v>
      </c>
      <c r="C19" s="184">
        <f>C17-C18</f>
        <v>5056</v>
      </c>
      <c r="D19" s="184">
        <f>D17-D18</f>
        <v>4121</v>
      </c>
      <c r="E19" s="184">
        <f>E17-E18</f>
        <v>3653</v>
      </c>
      <c r="F19" s="8"/>
    </row>
    <row r="20" spans="1:8" x14ac:dyDescent="0.2">
      <c r="A20" s="10" t="s">
        <v>12</v>
      </c>
      <c r="B20" s="90">
        <v>1527</v>
      </c>
      <c r="C20" s="90">
        <v>1741</v>
      </c>
      <c r="D20" s="90">
        <v>1427</v>
      </c>
      <c r="E20" s="90">
        <v>1204</v>
      </c>
      <c r="F20" s="8"/>
    </row>
    <row r="21" spans="1:8" x14ac:dyDescent="0.2">
      <c r="A21" s="3" t="s">
        <v>13</v>
      </c>
      <c r="B21" s="184">
        <f t="shared" ref="B21" si="4">B19-B20</f>
        <v>2929</v>
      </c>
      <c r="C21" s="184">
        <f>C19-C20</f>
        <v>3315</v>
      </c>
      <c r="D21" s="184">
        <f>D19-D20</f>
        <v>2694</v>
      </c>
      <c r="E21" s="184">
        <f>E19-E20</f>
        <v>2449</v>
      </c>
      <c r="F21" s="8"/>
    </row>
    <row r="22" spans="1:8" x14ac:dyDescent="0.2">
      <c r="A22" s="159" t="s">
        <v>196</v>
      </c>
      <c r="B22" s="91"/>
      <c r="C22" s="91">
        <v>-316</v>
      </c>
      <c r="D22" s="91">
        <v>-723</v>
      </c>
      <c r="E22" s="91">
        <v>-4085</v>
      </c>
      <c r="F22" s="8"/>
    </row>
    <row r="23" spans="1:8" x14ac:dyDescent="0.2">
      <c r="A23" s="159" t="s">
        <v>197</v>
      </c>
      <c r="B23" s="185">
        <f>SUM(B21:B22)</f>
        <v>2929</v>
      </c>
      <c r="C23" s="185">
        <f t="shared" ref="C23:E23" si="5">SUM(C21:C22)</f>
        <v>2999</v>
      </c>
      <c r="D23" s="185">
        <f t="shared" si="5"/>
        <v>1971</v>
      </c>
      <c r="E23" s="185">
        <f t="shared" si="5"/>
        <v>-1636</v>
      </c>
      <c r="F23" s="8"/>
    </row>
    <row r="24" spans="1:8" x14ac:dyDescent="0.2">
      <c r="A24" s="3" t="s">
        <v>14</v>
      </c>
      <c r="B24" s="160">
        <f>B23/B26</f>
        <v>4.3762139548782315</v>
      </c>
      <c r="C24" s="160">
        <f>C23/C26</f>
        <v>4.5213327302879547</v>
      </c>
      <c r="D24" s="160">
        <f>D23/D26</f>
        <v>3.0710501713929577</v>
      </c>
      <c r="E24" s="160">
        <f>E23/E26</f>
        <v>-2.5558506483361976</v>
      </c>
      <c r="F24" s="8"/>
    </row>
    <row r="25" spans="1:8" x14ac:dyDescent="0.2">
      <c r="A25" s="6"/>
      <c r="B25" s="71"/>
      <c r="C25" s="71"/>
      <c r="D25" s="71"/>
      <c r="E25" s="71"/>
      <c r="F25" s="8"/>
      <c r="G25" s="6"/>
    </row>
    <row r="26" spans="1:8" x14ac:dyDescent="0.2">
      <c r="A26" s="7" t="s">
        <v>15</v>
      </c>
      <c r="B26" s="84">
        <v>669.3</v>
      </c>
      <c r="C26" s="84">
        <v>663.3</v>
      </c>
      <c r="D26" s="84">
        <v>641.79999999999995</v>
      </c>
      <c r="E26" s="84">
        <v>640.1</v>
      </c>
      <c r="F26" s="8"/>
    </row>
    <row r="27" spans="1:8" x14ac:dyDescent="0.2">
      <c r="A27" s="7"/>
      <c r="F27" s="8"/>
    </row>
    <row r="28" spans="1:8" x14ac:dyDescent="0.2">
      <c r="F28" s="8"/>
    </row>
    <row r="29" spans="1:8" x14ac:dyDescent="0.2">
      <c r="F29" s="8"/>
    </row>
    <row r="30" spans="1:8" x14ac:dyDescent="0.2">
      <c r="F30" s="8"/>
    </row>
    <row r="31" spans="1:8" x14ac:dyDescent="0.2">
      <c r="F31" s="8"/>
    </row>
    <row r="32" spans="1:8" x14ac:dyDescent="0.2">
      <c r="F32" s="8"/>
    </row>
    <row r="33" spans="6:6" x14ac:dyDescent="0.2">
      <c r="F33" s="8"/>
    </row>
    <row r="34" spans="6:6" x14ac:dyDescent="0.2">
      <c r="F34" s="8"/>
    </row>
    <row r="35" spans="6:6" x14ac:dyDescent="0.2">
      <c r="F35" s="8"/>
    </row>
    <row r="36" spans="6:6" x14ac:dyDescent="0.2">
      <c r="F36" s="8"/>
    </row>
  </sheetData>
  <pageMargins left="0.7" right="0.7" top="0.75" bottom="0.75" header="0.3" footer="0.3"/>
  <pageSetup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zoomScaleNormal="100" workbookViewId="0">
      <pane ySplit="4" topLeftCell="A7" activePane="bottomLeft" state="frozen"/>
      <selection pane="bottomLeft" activeCell="C47" sqref="C47"/>
    </sheetView>
  </sheetViews>
  <sheetFormatPr defaultRowHeight="12.75" x14ac:dyDescent="0.2"/>
  <cols>
    <col min="1" max="1" width="49.85546875" style="13" bestFit="1" customWidth="1"/>
    <col min="2" max="5" width="8.5703125" style="13" bestFit="1" customWidth="1"/>
    <col min="6" max="16384" width="9.140625" style="13"/>
  </cols>
  <sheetData>
    <row r="1" spans="1:6" x14ac:dyDescent="0.2">
      <c r="A1" s="1" t="s">
        <v>0</v>
      </c>
      <c r="B1" s="1" t="s">
        <v>19</v>
      </c>
    </row>
    <row r="2" spans="1:6" x14ac:dyDescent="0.2">
      <c r="A2" s="1" t="s">
        <v>1</v>
      </c>
      <c r="B2" s="1" t="s">
        <v>20</v>
      </c>
    </row>
    <row r="4" spans="1:6" x14ac:dyDescent="0.2">
      <c r="B4" s="157">
        <v>2011</v>
      </c>
      <c r="C4" s="157">
        <v>2012</v>
      </c>
      <c r="D4" s="157">
        <v>2013</v>
      </c>
      <c r="E4" s="157">
        <v>2014</v>
      </c>
    </row>
    <row r="5" spans="1:6" x14ac:dyDescent="0.2">
      <c r="B5"/>
      <c r="C5"/>
      <c r="D5"/>
      <c r="E5"/>
    </row>
    <row r="6" spans="1:6" x14ac:dyDescent="0.2">
      <c r="A6" s="2" t="s">
        <v>21</v>
      </c>
      <c r="B6"/>
      <c r="C6"/>
      <c r="D6"/>
      <c r="E6"/>
    </row>
    <row r="7" spans="1:6" x14ac:dyDescent="0.2">
      <c r="A7" s="1" t="s">
        <v>54</v>
      </c>
      <c r="B7" s="64">
        <v>794</v>
      </c>
      <c r="C7" s="64">
        <v>784</v>
      </c>
      <c r="D7" s="64">
        <v>695</v>
      </c>
      <c r="E7" s="64">
        <v>2210</v>
      </c>
    </row>
    <row r="8" spans="1:6" x14ac:dyDescent="0.2">
      <c r="A8" s="13" t="s">
        <v>22</v>
      </c>
      <c r="B8" s="84">
        <v>0</v>
      </c>
      <c r="C8" s="110">
        <v>5841</v>
      </c>
      <c r="D8" s="110">
        <v>0</v>
      </c>
      <c r="E8" s="110">
        <v>0</v>
      </c>
    </row>
    <row r="9" spans="1:6" x14ac:dyDescent="0.2">
      <c r="A9" s="1" t="s">
        <v>55</v>
      </c>
      <c r="B9" s="110">
        <v>5927</v>
      </c>
      <c r="C9" s="84">
        <v>0</v>
      </c>
      <c r="D9" s="84">
        <v>0</v>
      </c>
      <c r="E9" s="84">
        <v>0</v>
      </c>
    </row>
    <row r="10" spans="1:6" x14ac:dyDescent="0.2">
      <c r="A10" s="13" t="s">
        <v>23</v>
      </c>
      <c r="B10" s="110">
        <v>7918</v>
      </c>
      <c r="C10" s="110">
        <v>7903</v>
      </c>
      <c r="D10" s="110">
        <v>8766</v>
      </c>
      <c r="E10" s="110">
        <v>8790</v>
      </c>
      <c r="F10" s="14"/>
    </row>
    <row r="11" spans="1:6" x14ac:dyDescent="0.2">
      <c r="A11" s="16" t="s">
        <v>24</v>
      </c>
      <c r="B11" s="111">
        <v>1810</v>
      </c>
      <c r="C11" s="111">
        <v>1860</v>
      </c>
      <c r="D11" s="111">
        <v>2112</v>
      </c>
      <c r="E11" s="111">
        <v>3087</v>
      </c>
    </row>
    <row r="12" spans="1:6" x14ac:dyDescent="0.2">
      <c r="A12" s="13" t="s">
        <v>25</v>
      </c>
      <c r="B12" s="95">
        <f t="shared" ref="B12:E12" si="0">SUM(B7:B11)</f>
        <v>16449</v>
      </c>
      <c r="C12" s="95">
        <f t="shared" si="0"/>
        <v>16388</v>
      </c>
      <c r="D12" s="95">
        <f t="shared" si="0"/>
        <v>11573</v>
      </c>
      <c r="E12" s="95">
        <f t="shared" si="0"/>
        <v>14087</v>
      </c>
    </row>
    <row r="13" spans="1:6" x14ac:dyDescent="0.2">
      <c r="B13" s="91"/>
      <c r="C13" s="91"/>
      <c r="D13" s="91"/>
      <c r="E13" s="91"/>
    </row>
    <row r="14" spans="1:6" x14ac:dyDescent="0.2">
      <c r="A14" s="12" t="s">
        <v>26</v>
      </c>
      <c r="B14" s="64"/>
      <c r="C14" s="64"/>
      <c r="D14" s="64"/>
      <c r="E14" s="64"/>
    </row>
    <row r="15" spans="1:6" x14ac:dyDescent="0.2">
      <c r="A15" s="13" t="s">
        <v>27</v>
      </c>
      <c r="B15" s="110">
        <v>6122</v>
      </c>
      <c r="C15" s="110">
        <v>6206</v>
      </c>
      <c r="D15" s="110">
        <v>6234</v>
      </c>
      <c r="E15" s="110">
        <v>6127</v>
      </c>
    </row>
    <row r="16" spans="1:6" x14ac:dyDescent="0.2">
      <c r="A16" s="13" t="s">
        <v>28</v>
      </c>
      <c r="B16" s="110">
        <v>26837</v>
      </c>
      <c r="C16" s="110">
        <v>28653</v>
      </c>
      <c r="D16" s="110">
        <v>30356</v>
      </c>
      <c r="E16" s="110">
        <v>26614</v>
      </c>
    </row>
    <row r="17" spans="1:5" x14ac:dyDescent="0.2">
      <c r="A17" s="13" t="s">
        <v>29</v>
      </c>
      <c r="B17" s="110">
        <v>5141</v>
      </c>
      <c r="C17" s="110">
        <v>5362</v>
      </c>
      <c r="D17" s="110">
        <v>8347</v>
      </c>
      <c r="E17" s="110">
        <v>5346</v>
      </c>
    </row>
    <row r="18" spans="1:5" x14ac:dyDescent="0.2">
      <c r="A18" s="13" t="s">
        <v>30</v>
      </c>
      <c r="B18" s="110">
        <v>2468</v>
      </c>
      <c r="C18" s="110">
        <v>2567</v>
      </c>
      <c r="D18" s="110">
        <v>0</v>
      </c>
      <c r="E18" s="110">
        <v>2553</v>
      </c>
    </row>
    <row r="19" spans="1:5" x14ac:dyDescent="0.2">
      <c r="A19" s="13" t="s">
        <v>31</v>
      </c>
      <c r="B19" s="64">
        <v>963</v>
      </c>
      <c r="C19" s="110">
        <v>1176</v>
      </c>
      <c r="D19" s="110">
        <v>843</v>
      </c>
      <c r="E19" s="110">
        <v>424</v>
      </c>
    </row>
    <row r="20" spans="1:5" x14ac:dyDescent="0.2">
      <c r="A20" s="16" t="s">
        <v>32</v>
      </c>
      <c r="B20" s="93">
        <v>-12382</v>
      </c>
      <c r="C20" s="93">
        <v>-13311</v>
      </c>
      <c r="D20" s="93">
        <v>-14402</v>
      </c>
      <c r="E20" s="93">
        <v>-15106</v>
      </c>
    </row>
    <row r="21" spans="1:5" x14ac:dyDescent="0.2">
      <c r="A21" s="13" t="s">
        <v>33</v>
      </c>
      <c r="B21" s="112">
        <f t="shared" ref="B21:E21" si="1">SUM(B15:B20)</f>
        <v>29149</v>
      </c>
      <c r="C21" s="112">
        <f t="shared" si="1"/>
        <v>30653</v>
      </c>
      <c r="D21" s="112">
        <f t="shared" si="1"/>
        <v>31378</v>
      </c>
      <c r="E21" s="112">
        <f t="shared" si="1"/>
        <v>25958</v>
      </c>
    </row>
    <row r="22" spans="1:5" x14ac:dyDescent="0.2">
      <c r="A22" s="16" t="s">
        <v>34</v>
      </c>
      <c r="B22" s="111">
        <v>1032</v>
      </c>
      <c r="C22" s="111">
        <v>1122</v>
      </c>
      <c r="D22" s="111">
        <v>1602</v>
      </c>
      <c r="E22" s="111">
        <v>1359</v>
      </c>
    </row>
    <row r="23" spans="1:5" x14ac:dyDescent="0.2">
      <c r="A23" s="13" t="s">
        <v>35</v>
      </c>
      <c r="B23" s="112">
        <f t="shared" ref="B23:E23" si="2">B12+B21+B22</f>
        <v>46630</v>
      </c>
      <c r="C23" s="112">
        <f t="shared" si="2"/>
        <v>48163</v>
      </c>
      <c r="D23" s="112">
        <f t="shared" si="2"/>
        <v>44553</v>
      </c>
      <c r="E23" s="112">
        <f t="shared" si="2"/>
        <v>41404</v>
      </c>
    </row>
    <row r="24" spans="1:5" x14ac:dyDescent="0.2">
      <c r="B24" s="64"/>
      <c r="C24" s="64"/>
      <c r="D24" s="64"/>
      <c r="E24" s="64"/>
    </row>
    <row r="25" spans="1:5" x14ac:dyDescent="0.2">
      <c r="A25" s="2" t="s">
        <v>36</v>
      </c>
      <c r="B25" s="64"/>
      <c r="C25" s="64"/>
      <c r="D25" s="64"/>
      <c r="E25" s="64"/>
    </row>
    <row r="26" spans="1:5" x14ac:dyDescent="0.2">
      <c r="A26" s="13" t="s">
        <v>37</v>
      </c>
      <c r="B26" s="110">
        <v>6857</v>
      </c>
      <c r="C26" s="110">
        <v>7056</v>
      </c>
      <c r="D26" s="110">
        <v>7683</v>
      </c>
      <c r="E26" s="110">
        <v>7759</v>
      </c>
    </row>
    <row r="27" spans="1:5" x14ac:dyDescent="0.2">
      <c r="A27" s="13" t="s">
        <v>38</v>
      </c>
      <c r="B27" s="110">
        <v>3644</v>
      </c>
      <c r="C27" s="110">
        <v>3981</v>
      </c>
      <c r="D27" s="110">
        <v>3934</v>
      </c>
      <c r="E27" s="110">
        <v>3783</v>
      </c>
    </row>
    <row r="28" spans="1:5" x14ac:dyDescent="0.2">
      <c r="A28" s="13" t="s">
        <v>39</v>
      </c>
      <c r="B28" s="110">
        <v>3036</v>
      </c>
      <c r="C28" s="110">
        <v>1494</v>
      </c>
      <c r="D28" s="110">
        <v>1160</v>
      </c>
      <c r="E28" s="110">
        <v>194</v>
      </c>
    </row>
    <row r="29" spans="1:5" x14ac:dyDescent="0.2">
      <c r="A29" s="16" t="s">
        <v>40</v>
      </c>
      <c r="B29" s="113">
        <v>750</v>
      </c>
      <c r="C29" s="111">
        <v>1500</v>
      </c>
      <c r="D29" s="111">
        <v>0</v>
      </c>
      <c r="E29" s="111"/>
    </row>
    <row r="30" spans="1:5" x14ac:dyDescent="0.2">
      <c r="A30" s="13" t="s">
        <v>41</v>
      </c>
      <c r="B30" s="112">
        <f t="shared" ref="B30:E30" si="3">SUM(B26:B29)</f>
        <v>14287</v>
      </c>
      <c r="C30" s="112">
        <f t="shared" si="3"/>
        <v>14031</v>
      </c>
      <c r="D30" s="112">
        <f t="shared" si="3"/>
        <v>12777</v>
      </c>
      <c r="E30" s="112">
        <f t="shared" si="3"/>
        <v>11736</v>
      </c>
    </row>
    <row r="31" spans="1:5" x14ac:dyDescent="0.2">
      <c r="A31" s="13" t="s">
        <v>39</v>
      </c>
      <c r="B31" s="110">
        <v>13447</v>
      </c>
      <c r="C31" s="110">
        <v>14654</v>
      </c>
      <c r="D31" s="110">
        <v>12622</v>
      </c>
      <c r="E31" s="110">
        <v>12705</v>
      </c>
    </row>
    <row r="32" spans="1:5" x14ac:dyDescent="0.2">
      <c r="A32" s="13" t="s">
        <v>40</v>
      </c>
      <c r="B32" s="64">
        <v>250</v>
      </c>
      <c r="C32" s="84">
        <v>0</v>
      </c>
      <c r="D32" s="84">
        <v>0</v>
      </c>
      <c r="E32" s="84">
        <v>0</v>
      </c>
    </row>
    <row r="33" spans="1:5" x14ac:dyDescent="0.2">
      <c r="A33" s="13" t="s">
        <v>42</v>
      </c>
      <c r="B33" s="110">
        <v>1191</v>
      </c>
      <c r="C33" s="110">
        <v>1311</v>
      </c>
      <c r="D33" s="110">
        <v>1433</v>
      </c>
      <c r="E33" s="110">
        <v>1321</v>
      </c>
    </row>
    <row r="34" spans="1:5" x14ac:dyDescent="0.2">
      <c r="A34" s="16" t="s">
        <v>43</v>
      </c>
      <c r="B34" s="111">
        <v>1634</v>
      </c>
      <c r="C34" s="111">
        <v>1609</v>
      </c>
      <c r="D34" s="111">
        <v>1490</v>
      </c>
      <c r="E34" s="111">
        <v>1645</v>
      </c>
    </row>
    <row r="35" spans="1:5" x14ac:dyDescent="0.2">
      <c r="A35" s="18" t="s">
        <v>44</v>
      </c>
      <c r="B35" s="114">
        <f t="shared" ref="B35:E35" si="4">SUM(B31:B34)</f>
        <v>16522</v>
      </c>
      <c r="C35" s="114">
        <f t="shared" si="4"/>
        <v>17574</v>
      </c>
      <c r="D35" s="114">
        <f t="shared" si="4"/>
        <v>15545</v>
      </c>
      <c r="E35" s="114">
        <f t="shared" si="4"/>
        <v>15671</v>
      </c>
    </row>
    <row r="36" spans="1:5" x14ac:dyDescent="0.2">
      <c r="A36" s="1" t="s">
        <v>84</v>
      </c>
      <c r="B36" s="95">
        <f t="shared" ref="B36:E36" si="5">B35+B30</f>
        <v>30809</v>
      </c>
      <c r="C36" s="95">
        <f t="shared" si="5"/>
        <v>31605</v>
      </c>
      <c r="D36" s="95">
        <f t="shared" si="5"/>
        <v>28322</v>
      </c>
      <c r="E36" s="95">
        <f t="shared" si="5"/>
        <v>27407</v>
      </c>
    </row>
    <row r="37" spans="1:5" x14ac:dyDescent="0.2">
      <c r="B37" s="91"/>
      <c r="C37" s="91"/>
      <c r="D37" s="91"/>
      <c r="E37" s="91"/>
    </row>
    <row r="38" spans="1:5" x14ac:dyDescent="0.2">
      <c r="A38" s="2" t="s">
        <v>45</v>
      </c>
      <c r="B38" s="64"/>
      <c r="C38" s="64"/>
      <c r="D38" s="64"/>
      <c r="E38" s="64"/>
    </row>
    <row r="39" spans="1:5" x14ac:dyDescent="0.2">
      <c r="A39" s="13" t="s">
        <v>46</v>
      </c>
      <c r="B39" s="64">
        <v>56</v>
      </c>
      <c r="C39" s="64">
        <v>54</v>
      </c>
      <c r="D39" s="64">
        <v>53</v>
      </c>
      <c r="E39" s="64">
        <v>53</v>
      </c>
    </row>
    <row r="40" spans="1:5" x14ac:dyDescent="0.2">
      <c r="A40" s="13" t="s">
        <v>47</v>
      </c>
      <c r="B40" s="110">
        <v>3487</v>
      </c>
      <c r="C40" s="110">
        <v>3925</v>
      </c>
      <c r="D40" s="110">
        <v>4470</v>
      </c>
      <c r="E40" s="110">
        <v>4899</v>
      </c>
    </row>
    <row r="41" spans="1:5" x14ac:dyDescent="0.2">
      <c r="A41" s="13" t="s">
        <v>48</v>
      </c>
      <c r="B41" s="110">
        <v>12959</v>
      </c>
      <c r="C41" s="110">
        <v>13155</v>
      </c>
      <c r="D41" s="110">
        <v>12599</v>
      </c>
      <c r="E41" s="110">
        <v>9644</v>
      </c>
    </row>
    <row r="42" spans="1:5" x14ac:dyDescent="0.2">
      <c r="A42" s="13" t="s">
        <v>49</v>
      </c>
      <c r="B42" s="64"/>
      <c r="C42" s="64"/>
      <c r="D42" s="64"/>
      <c r="E42" s="64"/>
    </row>
    <row r="43" spans="1:5" x14ac:dyDescent="0.2">
      <c r="A43" s="13" t="s">
        <v>50</v>
      </c>
      <c r="B43" s="84">
        <v>-624</v>
      </c>
      <c r="C43" s="84">
        <v>-532</v>
      </c>
      <c r="D43" s="84">
        <v>-422</v>
      </c>
      <c r="E43" s="84">
        <v>-561</v>
      </c>
    </row>
    <row r="44" spans="1:5" x14ac:dyDescent="0.2">
      <c r="A44" s="16" t="s">
        <v>51</v>
      </c>
      <c r="B44" s="93">
        <v>-57</v>
      </c>
      <c r="C44" s="93">
        <v>-44</v>
      </c>
      <c r="D44" s="93">
        <v>-469</v>
      </c>
      <c r="E44" s="93">
        <v>-38</v>
      </c>
    </row>
    <row r="45" spans="1:5" x14ac:dyDescent="0.2">
      <c r="A45" s="13" t="s">
        <v>52</v>
      </c>
      <c r="B45" s="184">
        <f>SUM(B39:B44)</f>
        <v>15821</v>
      </c>
      <c r="C45" s="184">
        <f>SUM(C39:C44)</f>
        <v>16558</v>
      </c>
      <c r="D45" s="184">
        <f>SUM(D39:D44)</f>
        <v>16231</v>
      </c>
      <c r="E45" s="184">
        <f>SUM(E39:E44)</f>
        <v>13997</v>
      </c>
    </row>
    <row r="46" spans="1:5" x14ac:dyDescent="0.2">
      <c r="B46" s="64"/>
      <c r="C46" s="64"/>
      <c r="D46" s="64"/>
      <c r="E46" s="64"/>
    </row>
    <row r="47" spans="1:5" x14ac:dyDescent="0.2">
      <c r="A47" s="13" t="s">
        <v>53</v>
      </c>
      <c r="B47" s="184">
        <f>B36+B45</f>
        <v>46630</v>
      </c>
      <c r="C47" s="184">
        <f>C36+C45</f>
        <v>48163</v>
      </c>
      <c r="D47" s="184">
        <f t="shared" ref="D47:E47" si="6">D36+D45</f>
        <v>44553</v>
      </c>
      <c r="E47" s="184">
        <f t="shared" si="6"/>
        <v>41404</v>
      </c>
    </row>
    <row r="50" spans="3:5" x14ac:dyDescent="0.2">
      <c r="C50" s="14"/>
      <c r="D50" s="14"/>
      <c r="E50" s="14"/>
    </row>
  </sheetData>
  <pageMargins left="0.7" right="0.7" top="0.75" bottom="0.75" header="0.3" footer="0.3"/>
  <pageSetup scale="8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zoomScaleNormal="100" workbookViewId="0">
      <pane ySplit="4" topLeftCell="A26" activePane="bottomLeft" state="frozen"/>
      <selection pane="bottomLeft" activeCell="A64" sqref="A64"/>
    </sheetView>
  </sheetViews>
  <sheetFormatPr defaultRowHeight="12.75" x14ac:dyDescent="0.2"/>
  <cols>
    <col min="1" max="1" width="54" style="13" bestFit="1" customWidth="1"/>
    <col min="2" max="2" width="11.85546875" style="13" customWidth="1"/>
    <col min="3" max="5" width="11.85546875" style="13" bestFit="1" customWidth="1"/>
    <col min="6" max="16384" width="9.140625" style="13"/>
  </cols>
  <sheetData>
    <row r="1" spans="1:5" x14ac:dyDescent="0.2">
      <c r="A1" s="1" t="s">
        <v>0</v>
      </c>
      <c r="B1" s="1" t="s">
        <v>19</v>
      </c>
    </row>
    <row r="2" spans="1:5" x14ac:dyDescent="0.2">
      <c r="A2" s="1" t="s">
        <v>1</v>
      </c>
      <c r="B2" s="1" t="s">
        <v>20</v>
      </c>
    </row>
    <row r="4" spans="1:5" x14ac:dyDescent="0.2">
      <c r="A4" s="13" t="s">
        <v>56</v>
      </c>
      <c r="B4" s="157">
        <v>2011</v>
      </c>
      <c r="C4" s="157">
        <v>2012</v>
      </c>
      <c r="D4" s="157">
        <v>2013</v>
      </c>
      <c r="E4" s="157">
        <v>2014</v>
      </c>
    </row>
    <row r="5" spans="1:5" x14ac:dyDescent="0.2">
      <c r="B5"/>
      <c r="C5"/>
      <c r="D5"/>
      <c r="E5"/>
    </row>
    <row r="6" spans="1:5" x14ac:dyDescent="0.2">
      <c r="A6" s="2" t="s">
        <v>57</v>
      </c>
      <c r="B6"/>
      <c r="C6"/>
      <c r="D6"/>
      <c r="E6"/>
    </row>
    <row r="7" spans="1:5" x14ac:dyDescent="0.2">
      <c r="A7" s="13" t="s">
        <v>13</v>
      </c>
      <c r="B7" s="186">
        <f>IS!B23</f>
        <v>2929</v>
      </c>
      <c r="C7" s="186">
        <f>IS!C23</f>
        <v>2999</v>
      </c>
      <c r="D7" s="186">
        <f>IS!D23</f>
        <v>1971</v>
      </c>
      <c r="E7" s="186">
        <f>IS!E23</f>
        <v>-1636</v>
      </c>
    </row>
    <row r="8" spans="1:5" x14ac:dyDescent="0.2">
      <c r="A8" s="78" t="s">
        <v>198</v>
      </c>
      <c r="B8" s="183">
        <f>IS!B22</f>
        <v>0</v>
      </c>
      <c r="C8" s="183">
        <f>IS!C22</f>
        <v>-316</v>
      </c>
      <c r="D8" s="183">
        <f>IS!D22</f>
        <v>-723</v>
      </c>
      <c r="E8" s="183">
        <f>IS!E22</f>
        <v>-4085</v>
      </c>
    </row>
    <row r="9" spans="1:5" x14ac:dyDescent="0.2">
      <c r="A9" s="78" t="s">
        <v>199</v>
      </c>
      <c r="B9" s="183">
        <f>B7-B8</f>
        <v>2929</v>
      </c>
      <c r="C9" s="183">
        <f t="shared" ref="C9:E9" si="0">C7-C8</f>
        <v>3315</v>
      </c>
      <c r="D9" s="183">
        <f t="shared" si="0"/>
        <v>2694</v>
      </c>
      <c r="E9" s="183">
        <f t="shared" si="0"/>
        <v>2449</v>
      </c>
    </row>
    <row r="10" spans="1:5" x14ac:dyDescent="0.2">
      <c r="A10" s="13" t="s">
        <v>10</v>
      </c>
      <c r="B10" s="184">
        <f>IS!B14</f>
        <v>2131</v>
      </c>
      <c r="C10" s="184">
        <f>IS!C14</f>
        <v>2044</v>
      </c>
      <c r="D10" s="184">
        <f>IS!D14</f>
        <v>1996</v>
      </c>
      <c r="E10" s="184">
        <f>IS!E14</f>
        <v>2129</v>
      </c>
    </row>
    <row r="11" spans="1:5" x14ac:dyDescent="0.2">
      <c r="A11" s="13" t="s">
        <v>58</v>
      </c>
      <c r="B11" s="64">
        <v>90</v>
      </c>
      <c r="C11" s="84">
        <v>102</v>
      </c>
      <c r="D11" s="84">
        <v>106</v>
      </c>
      <c r="E11" s="84">
        <v>71</v>
      </c>
    </row>
    <row r="12" spans="1:5" x14ac:dyDescent="0.2">
      <c r="A12" s="13" t="s">
        <v>42</v>
      </c>
      <c r="B12" s="64">
        <v>371</v>
      </c>
      <c r="C12" s="84">
        <v>67</v>
      </c>
      <c r="D12" s="84">
        <v>58</v>
      </c>
      <c r="E12" s="84">
        <v>7</v>
      </c>
    </row>
    <row r="13" spans="1:5" x14ac:dyDescent="0.2">
      <c r="A13" s="13" t="s">
        <v>59</v>
      </c>
      <c r="B13" s="64">
        <v>154</v>
      </c>
      <c r="C13" s="84">
        <v>0</v>
      </c>
      <c r="D13" s="84">
        <v>445</v>
      </c>
      <c r="E13" s="84">
        <v>285</v>
      </c>
    </row>
    <row r="14" spans="1:5" x14ac:dyDescent="0.2">
      <c r="A14" s="13" t="s">
        <v>11</v>
      </c>
      <c r="B14" s="84">
        <v>0</v>
      </c>
      <c r="C14" s="84">
        <v>-161</v>
      </c>
      <c r="D14" s="84">
        <v>-391</v>
      </c>
      <c r="E14" s="84">
        <v>0</v>
      </c>
    </row>
    <row r="15" spans="1:5" x14ac:dyDescent="0.2">
      <c r="A15" s="13" t="s">
        <v>60</v>
      </c>
      <c r="B15" s="64">
        <v>22</v>
      </c>
      <c r="C15" s="84">
        <v>220</v>
      </c>
      <c r="D15" s="84">
        <v>121</v>
      </c>
      <c r="E15" s="84">
        <v>40</v>
      </c>
    </row>
    <row r="16" spans="1:5" x14ac:dyDescent="0.2">
      <c r="A16" s="52" t="s">
        <v>61</v>
      </c>
      <c r="B16" s="64"/>
      <c r="C16" s="64"/>
      <c r="D16" s="64"/>
      <c r="E16" s="64"/>
    </row>
    <row r="17" spans="1:6" x14ac:dyDescent="0.2">
      <c r="A17" s="13" t="s">
        <v>62</v>
      </c>
      <c r="B17" s="84">
        <v>-187</v>
      </c>
      <c r="C17" s="84">
        <v>-217</v>
      </c>
      <c r="D17" s="84">
        <v>2860</v>
      </c>
      <c r="E17" s="84">
        <v>0</v>
      </c>
    </row>
    <row r="18" spans="1:6" x14ac:dyDescent="0.2">
      <c r="A18" s="13" t="s">
        <v>23</v>
      </c>
      <c r="B18" s="84">
        <v>-322</v>
      </c>
      <c r="C18" s="84">
        <v>160</v>
      </c>
      <c r="D18" s="84">
        <v>-504</v>
      </c>
      <c r="E18" s="84">
        <v>-512</v>
      </c>
    </row>
    <row r="19" spans="1:6" x14ac:dyDescent="0.2">
      <c r="A19" s="13" t="s">
        <v>24</v>
      </c>
      <c r="B19" s="84">
        <v>-150</v>
      </c>
      <c r="C19" s="84">
        <v>-155</v>
      </c>
      <c r="D19" s="84">
        <v>-79</v>
      </c>
      <c r="E19" s="84">
        <v>-115</v>
      </c>
    </row>
    <row r="20" spans="1:6" x14ac:dyDescent="0.2">
      <c r="A20" s="13" t="s">
        <v>34</v>
      </c>
      <c r="B20" s="64">
        <v>43</v>
      </c>
      <c r="C20" s="84">
        <v>0</v>
      </c>
      <c r="D20" s="84">
        <v>0</v>
      </c>
      <c r="E20" s="84">
        <v>0</v>
      </c>
    </row>
    <row r="21" spans="1:6" x14ac:dyDescent="0.2">
      <c r="A21" s="78" t="s">
        <v>37</v>
      </c>
      <c r="B21" s="64">
        <v>232</v>
      </c>
      <c r="C21" s="84">
        <v>193</v>
      </c>
      <c r="D21" s="84">
        <v>213</v>
      </c>
      <c r="E21" s="84">
        <v>777</v>
      </c>
    </row>
    <row r="22" spans="1:6" x14ac:dyDescent="0.2">
      <c r="A22" s="13" t="s">
        <v>38</v>
      </c>
      <c r="B22" s="64">
        <v>218</v>
      </c>
      <c r="C22" s="84">
        <v>0</v>
      </c>
      <c r="D22" s="84">
        <v>0</v>
      </c>
      <c r="E22" s="84">
        <v>0</v>
      </c>
    </row>
    <row r="23" spans="1:6" x14ac:dyDescent="0.2">
      <c r="A23" s="17" t="s">
        <v>43</v>
      </c>
      <c r="B23" s="84">
        <v>-97</v>
      </c>
      <c r="C23" s="84">
        <v>0</v>
      </c>
      <c r="D23" s="84">
        <v>0</v>
      </c>
      <c r="E23" s="84">
        <v>0</v>
      </c>
    </row>
    <row r="24" spans="1:6" s="163" customFormat="1" x14ac:dyDescent="0.2">
      <c r="A24" s="164" t="s">
        <v>201</v>
      </c>
      <c r="B24" s="165">
        <f>SUM(B9:B23)</f>
        <v>5434</v>
      </c>
      <c r="C24" s="165">
        <f t="shared" ref="C24:E24" si="1">SUM(C9:C23)</f>
        <v>5568</v>
      </c>
      <c r="D24" s="165">
        <f t="shared" si="1"/>
        <v>7519</v>
      </c>
      <c r="E24" s="165">
        <f t="shared" si="1"/>
        <v>5131</v>
      </c>
      <c r="F24" s="96"/>
    </row>
    <row r="25" spans="1:6" s="163" customFormat="1" x14ac:dyDescent="0.2">
      <c r="A25" s="162" t="s">
        <v>200</v>
      </c>
      <c r="B25" s="166">
        <v>0</v>
      </c>
      <c r="C25" s="166">
        <v>-243</v>
      </c>
      <c r="D25" s="166">
        <v>-999</v>
      </c>
      <c r="E25" s="166">
        <v>-692</v>
      </c>
      <c r="F25" s="96"/>
    </row>
    <row r="26" spans="1:6" s="163" customFormat="1" x14ac:dyDescent="0.2">
      <c r="A26" s="78" t="s">
        <v>202</v>
      </c>
      <c r="B26" s="183">
        <f>B24+B25</f>
        <v>5434</v>
      </c>
      <c r="C26" s="183">
        <f t="shared" ref="C26:E26" si="2">C24+C25</f>
        <v>5325</v>
      </c>
      <c r="D26" s="183">
        <f t="shared" si="2"/>
        <v>6520</v>
      </c>
      <c r="E26" s="183">
        <f t="shared" si="2"/>
        <v>4439</v>
      </c>
      <c r="F26" s="96"/>
    </row>
    <row r="27" spans="1:6" x14ac:dyDescent="0.2">
      <c r="B27" s="64"/>
      <c r="C27" s="64"/>
      <c r="D27" s="64"/>
      <c r="E27" s="64"/>
    </row>
    <row r="28" spans="1:6" x14ac:dyDescent="0.2">
      <c r="A28" s="2" t="s">
        <v>63</v>
      </c>
      <c r="B28" s="64"/>
      <c r="C28" s="64"/>
      <c r="D28" s="64"/>
      <c r="E28" s="64"/>
    </row>
    <row r="29" spans="1:6" x14ac:dyDescent="0.2">
      <c r="A29" s="13" t="s">
        <v>64</v>
      </c>
      <c r="B29" s="84">
        <v>-4368</v>
      </c>
      <c r="C29" s="84">
        <v>-3277</v>
      </c>
      <c r="D29" s="84">
        <v>-3453</v>
      </c>
      <c r="E29" s="84">
        <v>-1786</v>
      </c>
    </row>
    <row r="30" spans="1:6" x14ac:dyDescent="0.2">
      <c r="A30" s="13" t="s">
        <v>65</v>
      </c>
      <c r="B30" s="64">
        <v>37</v>
      </c>
      <c r="C30" s="64">
        <v>66</v>
      </c>
      <c r="D30" s="84">
        <v>86</v>
      </c>
      <c r="E30" s="84">
        <v>95</v>
      </c>
    </row>
    <row r="31" spans="1:6" x14ac:dyDescent="0.2">
      <c r="A31" s="13" t="s">
        <v>66</v>
      </c>
      <c r="B31" s="64">
        <v>259</v>
      </c>
      <c r="C31" s="64">
        <v>254</v>
      </c>
      <c r="D31" s="84">
        <v>0</v>
      </c>
      <c r="E31" s="84">
        <v>0</v>
      </c>
    </row>
    <row r="32" spans="1:6" x14ac:dyDescent="0.2">
      <c r="A32" s="16" t="s">
        <v>67</v>
      </c>
      <c r="B32" s="93">
        <v>-108</v>
      </c>
      <c r="C32" s="113">
        <v>102</v>
      </c>
      <c r="D32" s="93">
        <v>3096</v>
      </c>
      <c r="E32" s="93">
        <v>86</v>
      </c>
    </row>
    <row r="33" spans="1:7" x14ac:dyDescent="0.2">
      <c r="A33" s="13" t="s">
        <v>68</v>
      </c>
      <c r="B33" s="187">
        <f t="shared" ref="B33:E33" si="3">SUM(B29:B32)</f>
        <v>-4180</v>
      </c>
      <c r="C33" s="187">
        <f t="shared" si="3"/>
        <v>-2855</v>
      </c>
      <c r="D33" s="187">
        <f t="shared" si="3"/>
        <v>-271</v>
      </c>
      <c r="E33" s="187">
        <f t="shared" si="3"/>
        <v>-1605</v>
      </c>
    </row>
    <row r="34" spans="1:7" x14ac:dyDescent="0.2">
      <c r="B34" s="64"/>
      <c r="C34" s="64"/>
      <c r="D34" s="64"/>
      <c r="E34" s="64"/>
      <c r="G34" s="14"/>
    </row>
    <row r="35" spans="1:7" x14ac:dyDescent="0.2">
      <c r="A35" s="2" t="s">
        <v>69</v>
      </c>
      <c r="B35" s="64"/>
      <c r="C35" s="64"/>
      <c r="D35" s="64"/>
      <c r="E35" s="64"/>
    </row>
    <row r="36" spans="1:7" x14ac:dyDescent="0.2">
      <c r="A36" s="13" t="s">
        <v>70</v>
      </c>
      <c r="B36" s="84">
        <v>0</v>
      </c>
      <c r="C36" s="64">
        <v>970</v>
      </c>
      <c r="D36" s="84">
        <v>-890</v>
      </c>
      <c r="E36" s="84">
        <v>-80</v>
      </c>
    </row>
    <row r="37" spans="1:7" x14ac:dyDescent="0.2">
      <c r="A37" s="13" t="s">
        <v>71</v>
      </c>
      <c r="B37" s="110">
        <v>1500</v>
      </c>
      <c r="C37" s="84">
        <v>0</v>
      </c>
      <c r="D37" s="84">
        <v>0</v>
      </c>
      <c r="E37" s="84">
        <v>0</v>
      </c>
    </row>
    <row r="38" spans="1:7" x14ac:dyDescent="0.2">
      <c r="A38" s="13" t="s">
        <v>72</v>
      </c>
      <c r="B38" s="84">
        <v>0</v>
      </c>
      <c r="C38" s="84">
        <v>-1500</v>
      </c>
      <c r="D38" s="84">
        <v>0</v>
      </c>
      <c r="E38" s="84">
        <v>0</v>
      </c>
    </row>
    <row r="39" spans="1:7" x14ac:dyDescent="0.2">
      <c r="A39" s="13" t="s">
        <v>73</v>
      </c>
      <c r="B39" s="110">
        <v>1994</v>
      </c>
      <c r="C39" s="110">
        <v>1971</v>
      </c>
      <c r="D39" s="91">
        <v>0</v>
      </c>
      <c r="E39" s="91">
        <v>1993</v>
      </c>
    </row>
    <row r="40" spans="1:7" x14ac:dyDescent="0.2">
      <c r="A40" s="13" t="s">
        <v>74</v>
      </c>
      <c r="B40" s="84">
        <v>-3125</v>
      </c>
      <c r="C40" s="84">
        <v>-1529</v>
      </c>
      <c r="D40" s="84">
        <v>-3463</v>
      </c>
      <c r="E40" s="84">
        <v>-2079</v>
      </c>
    </row>
    <row r="41" spans="1:7" x14ac:dyDescent="0.2">
      <c r="A41" s="13" t="s">
        <v>75</v>
      </c>
      <c r="B41" s="84">
        <v>-750</v>
      </c>
      <c r="C41" s="84">
        <v>-869</v>
      </c>
      <c r="D41" s="84">
        <v>-1006</v>
      </c>
      <c r="E41" s="84">
        <v>-1205</v>
      </c>
    </row>
    <row r="42" spans="1:7" x14ac:dyDescent="0.2">
      <c r="A42" s="13" t="s">
        <v>76</v>
      </c>
      <c r="B42" s="84">
        <v>-1842</v>
      </c>
      <c r="C42" s="84">
        <v>-1875</v>
      </c>
      <c r="D42" s="84">
        <v>-1461</v>
      </c>
      <c r="E42" s="84">
        <v>0</v>
      </c>
    </row>
    <row r="43" spans="1:7" x14ac:dyDescent="0.2">
      <c r="A43" s="13" t="s">
        <v>77</v>
      </c>
      <c r="B43" s="64">
        <v>89</v>
      </c>
      <c r="C43" s="64">
        <v>360</v>
      </c>
      <c r="D43" s="84">
        <v>456</v>
      </c>
      <c r="E43" s="84">
        <v>373</v>
      </c>
    </row>
    <row r="44" spans="1:7" x14ac:dyDescent="0.2">
      <c r="A44" s="16" t="s">
        <v>78</v>
      </c>
      <c r="B44" s="93">
        <v>-6</v>
      </c>
      <c r="C44" s="93">
        <v>-16</v>
      </c>
      <c r="D44" s="93">
        <v>0</v>
      </c>
      <c r="E44" s="93">
        <v>0</v>
      </c>
    </row>
    <row r="45" spans="1:7" x14ac:dyDescent="0.2">
      <c r="A45" s="1" t="s">
        <v>79</v>
      </c>
      <c r="B45" s="188">
        <f t="shared" ref="B45:E45" si="4">SUM(B36:B44)</f>
        <v>-2140</v>
      </c>
      <c r="C45" s="188">
        <f t="shared" si="4"/>
        <v>-2488</v>
      </c>
      <c r="D45" s="188">
        <f t="shared" si="4"/>
        <v>-6364</v>
      </c>
      <c r="E45" s="188">
        <f t="shared" si="4"/>
        <v>-998</v>
      </c>
    </row>
    <row r="46" spans="1:7" x14ac:dyDescent="0.2">
      <c r="B46" s="64"/>
      <c r="C46" s="64"/>
      <c r="D46" s="64"/>
      <c r="E46" s="64"/>
    </row>
    <row r="47" spans="1:7" x14ac:dyDescent="0.2">
      <c r="A47" s="13" t="s">
        <v>80</v>
      </c>
      <c r="B47" s="84">
        <v>-32</v>
      </c>
      <c r="C47" s="64">
        <v>8</v>
      </c>
      <c r="D47" s="84">
        <v>26</v>
      </c>
      <c r="E47" s="84">
        <v>0</v>
      </c>
    </row>
    <row r="48" spans="1:7" x14ac:dyDescent="0.2">
      <c r="B48" s="64"/>
      <c r="C48" s="64"/>
      <c r="D48" s="64"/>
      <c r="E48" s="64"/>
    </row>
    <row r="49" spans="1:5" x14ac:dyDescent="0.2">
      <c r="A49" s="161" t="s">
        <v>81</v>
      </c>
      <c r="B49" s="91">
        <v>1712</v>
      </c>
      <c r="C49" s="91">
        <v>794</v>
      </c>
      <c r="D49" s="91">
        <v>784</v>
      </c>
      <c r="E49" s="91">
        <v>695</v>
      </c>
    </row>
    <row r="50" spans="1:5" x14ac:dyDescent="0.2">
      <c r="A50" s="161" t="s">
        <v>82</v>
      </c>
      <c r="B50" s="91">
        <v>794</v>
      </c>
      <c r="C50" s="91">
        <v>784</v>
      </c>
      <c r="D50" s="91">
        <v>695</v>
      </c>
      <c r="E50" s="91">
        <v>2210</v>
      </c>
    </row>
    <row r="51" spans="1:5" x14ac:dyDescent="0.2">
      <c r="A51" s="1" t="s">
        <v>83</v>
      </c>
      <c r="B51" s="91">
        <v>-918</v>
      </c>
      <c r="C51" s="91">
        <v>-10</v>
      </c>
      <c r="D51" s="91">
        <v>-89</v>
      </c>
      <c r="E51" s="91">
        <v>1515</v>
      </c>
    </row>
  </sheetData>
  <pageMargins left="0.7" right="0.7" top="0.75" bottom="0.75" header="0.3" footer="0.3"/>
  <pageSetup scale="83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tabSelected="1" zoomScale="106" zoomScaleNormal="106" workbookViewId="0">
      <pane ySplit="4" topLeftCell="A5" activePane="bottomLeft" state="frozen"/>
      <selection pane="bottomLeft" activeCell="G21" sqref="G21"/>
    </sheetView>
  </sheetViews>
  <sheetFormatPr defaultRowHeight="12.75" x14ac:dyDescent="0.2"/>
  <cols>
    <col min="1" max="1" width="31" style="13" bestFit="1" customWidth="1"/>
    <col min="2" max="4" width="7.140625" style="21" bestFit="1" customWidth="1"/>
    <col min="5" max="5" width="7.140625" style="21" customWidth="1"/>
    <col min="6" max="16384" width="9.140625" style="13"/>
  </cols>
  <sheetData>
    <row r="1" spans="1:5" x14ac:dyDescent="0.2">
      <c r="A1" s="1" t="s">
        <v>0</v>
      </c>
      <c r="B1" s="20" t="s">
        <v>19</v>
      </c>
    </row>
    <row r="2" spans="1:5" x14ac:dyDescent="0.2">
      <c r="A2" s="1" t="s">
        <v>1</v>
      </c>
      <c r="B2" s="20" t="s">
        <v>20</v>
      </c>
    </row>
    <row r="3" spans="1:5" x14ac:dyDescent="0.2">
      <c r="A3" s="1"/>
      <c r="B3" s="20"/>
    </row>
    <row r="4" spans="1:5" x14ac:dyDescent="0.2">
      <c r="B4" s="157">
        <v>2011</v>
      </c>
      <c r="C4" s="157">
        <v>2012</v>
      </c>
      <c r="D4" s="157">
        <v>2013</v>
      </c>
      <c r="E4" s="157">
        <v>2014</v>
      </c>
    </row>
    <row r="5" spans="1:5" x14ac:dyDescent="0.2">
      <c r="A5" s="19" t="s">
        <v>85</v>
      </c>
    </row>
    <row r="6" spans="1:5" x14ac:dyDescent="0.2">
      <c r="A6" s="1" t="s">
        <v>86</v>
      </c>
      <c r="B6" s="23"/>
      <c r="C6" s="23"/>
      <c r="D6" s="23"/>
      <c r="E6" s="23"/>
    </row>
    <row r="7" spans="1:5" x14ac:dyDescent="0.2">
      <c r="A7" s="1" t="s">
        <v>87</v>
      </c>
      <c r="B7" s="23"/>
      <c r="C7" s="23"/>
      <c r="D7" s="23"/>
      <c r="E7" s="23"/>
    </row>
    <row r="8" spans="1:5" x14ac:dyDescent="0.2">
      <c r="A8" s="1" t="s">
        <v>88</v>
      </c>
      <c r="B8" s="23"/>
      <c r="C8" s="23"/>
      <c r="D8" s="23"/>
      <c r="E8" s="23"/>
    </row>
    <row r="9" spans="1:5" x14ac:dyDescent="0.2">
      <c r="A9" s="1" t="s">
        <v>89</v>
      </c>
      <c r="B9" s="23"/>
      <c r="C9" s="23"/>
      <c r="D9" s="23"/>
      <c r="E9" s="23"/>
    </row>
    <row r="10" spans="1:5" x14ac:dyDescent="0.2">
      <c r="A10" s="1"/>
      <c r="B10" s="20"/>
      <c r="C10" s="20"/>
      <c r="D10" s="20"/>
      <c r="E10" s="20"/>
    </row>
    <row r="11" spans="1:5" x14ac:dyDescent="0.2">
      <c r="A11" s="19" t="s">
        <v>95</v>
      </c>
      <c r="B11" s="20"/>
      <c r="C11" s="20"/>
      <c r="D11" s="20"/>
      <c r="E11" s="20"/>
    </row>
    <row r="12" spans="1:5" x14ac:dyDescent="0.2">
      <c r="A12" s="1" t="s">
        <v>96</v>
      </c>
      <c r="B12" s="24"/>
      <c r="C12" s="24"/>
      <c r="D12" s="24"/>
      <c r="E12" s="24"/>
    </row>
    <row r="13" spans="1:5" x14ac:dyDescent="0.2">
      <c r="A13" s="1" t="s">
        <v>97</v>
      </c>
      <c r="B13" s="24"/>
      <c r="C13" s="24"/>
      <c r="D13" s="24"/>
      <c r="E13" s="24"/>
    </row>
    <row r="14" spans="1:5" x14ac:dyDescent="0.2">
      <c r="A14" s="1" t="s">
        <v>98</v>
      </c>
      <c r="B14" s="24"/>
      <c r="C14" s="24"/>
      <c r="D14" s="24"/>
      <c r="E14" s="24"/>
    </row>
    <row r="15" spans="1:5" x14ac:dyDescent="0.2">
      <c r="A15" s="1" t="s">
        <v>99</v>
      </c>
      <c r="B15" s="24"/>
      <c r="C15" s="24"/>
      <c r="D15" s="24"/>
      <c r="E15" s="24"/>
    </row>
    <row r="16" spans="1:5" x14ac:dyDescent="0.2">
      <c r="A16" s="1" t="s">
        <v>100</v>
      </c>
      <c r="B16" s="129"/>
      <c r="C16" s="129"/>
      <c r="D16" s="129"/>
      <c r="E16" s="129"/>
    </row>
    <row r="17" spans="1:5" x14ac:dyDescent="0.2">
      <c r="A17" s="1" t="s">
        <v>101</v>
      </c>
      <c r="B17" s="128"/>
      <c r="C17" s="24"/>
      <c r="D17" s="24"/>
      <c r="E17" s="24"/>
    </row>
    <row r="18" spans="1:5" x14ac:dyDescent="0.2">
      <c r="A18" s="1" t="s">
        <v>102</v>
      </c>
      <c r="B18" s="24"/>
      <c r="C18" s="24"/>
      <c r="D18" s="24"/>
      <c r="E18" s="24"/>
    </row>
    <row r="19" spans="1:5" x14ac:dyDescent="0.2">
      <c r="A19" s="1" t="s">
        <v>103</v>
      </c>
      <c r="B19" s="24"/>
      <c r="C19" s="129"/>
      <c r="D19" s="24"/>
      <c r="E19" s="24"/>
    </row>
    <row r="21" spans="1:5" x14ac:dyDescent="0.2">
      <c r="A21" s="19" t="s">
        <v>104</v>
      </c>
    </row>
    <row r="22" spans="1:5" x14ac:dyDescent="0.2">
      <c r="A22" s="1" t="s">
        <v>105</v>
      </c>
      <c r="B22" s="24"/>
      <c r="C22" s="24"/>
      <c r="D22" s="24"/>
      <c r="E22" s="24"/>
    </row>
    <row r="23" spans="1:5" x14ac:dyDescent="0.2">
      <c r="A23" s="1" t="s">
        <v>106</v>
      </c>
      <c r="B23" s="24"/>
      <c r="C23" s="24"/>
      <c r="D23" s="24"/>
      <c r="E23" s="24"/>
    </row>
    <row r="24" spans="1:5" x14ac:dyDescent="0.2">
      <c r="A24" s="1" t="s">
        <v>107</v>
      </c>
      <c r="B24" s="24"/>
      <c r="C24" s="24"/>
      <c r="D24" s="24"/>
      <c r="E24" s="24"/>
    </row>
    <row r="25" spans="1:5" x14ac:dyDescent="0.2">
      <c r="A25" s="1" t="s">
        <v>108</v>
      </c>
      <c r="B25" s="129"/>
      <c r="C25" s="24"/>
      <c r="D25" s="24"/>
      <c r="E25" s="24"/>
    </row>
    <row r="26" spans="1:5" x14ac:dyDescent="0.2">
      <c r="B26" s="22"/>
      <c r="C26" s="22"/>
      <c r="D26" s="22"/>
      <c r="E26" s="22"/>
    </row>
    <row r="27" spans="1:5" x14ac:dyDescent="0.2">
      <c r="A27" s="19" t="s">
        <v>109</v>
      </c>
      <c r="B27" s="22"/>
      <c r="C27" s="22"/>
      <c r="D27" s="22"/>
      <c r="E27" s="22"/>
    </row>
    <row r="28" spans="1:5" x14ac:dyDescent="0.2">
      <c r="A28" s="1" t="s">
        <v>110</v>
      </c>
      <c r="B28" s="129"/>
      <c r="C28" s="129"/>
      <c r="D28" s="129"/>
      <c r="E28" s="129"/>
    </row>
    <row r="29" spans="1:5" x14ac:dyDescent="0.2">
      <c r="A29" s="1" t="s">
        <v>111</v>
      </c>
      <c r="B29" s="129"/>
      <c r="C29" s="129"/>
      <c r="D29" s="129"/>
      <c r="E29" s="129"/>
    </row>
    <row r="30" spans="1:5" x14ac:dyDescent="0.2">
      <c r="A30" s="1" t="s">
        <v>112</v>
      </c>
      <c r="B30" s="129"/>
      <c r="C30" s="129"/>
      <c r="D30" s="129"/>
      <c r="E30" s="129"/>
    </row>
    <row r="31" spans="1:5" x14ac:dyDescent="0.2">
      <c r="A31" s="1" t="s">
        <v>113</v>
      </c>
      <c r="B31" s="24"/>
      <c r="C31" s="24"/>
      <c r="D31" s="24"/>
      <c r="E31" s="24"/>
    </row>
    <row r="32" spans="1:5" x14ac:dyDescent="0.2">
      <c r="A32" s="1" t="s">
        <v>114</v>
      </c>
      <c r="B32" s="24"/>
      <c r="C32" s="24"/>
      <c r="D32" s="24"/>
      <c r="E32" s="24"/>
    </row>
    <row r="34" spans="1:5" x14ac:dyDescent="0.2">
      <c r="A34" s="19" t="s">
        <v>90</v>
      </c>
      <c r="B34" s="20"/>
    </row>
    <row r="35" spans="1:5" x14ac:dyDescent="0.2">
      <c r="A35" s="1" t="s">
        <v>91</v>
      </c>
      <c r="B35" s="23"/>
      <c r="C35" s="23"/>
      <c r="D35" s="23"/>
      <c r="E35" s="23"/>
    </row>
    <row r="36" spans="1:5" x14ac:dyDescent="0.2">
      <c r="A36" s="1" t="s">
        <v>92</v>
      </c>
      <c r="B36" s="23"/>
      <c r="C36" s="23"/>
      <c r="D36" s="23"/>
      <c r="E36" s="23"/>
    </row>
    <row r="37" spans="1:5" x14ac:dyDescent="0.2">
      <c r="A37" s="1" t="s">
        <v>93</v>
      </c>
      <c r="B37" s="23"/>
      <c r="C37" s="23"/>
      <c r="D37" s="23"/>
      <c r="E37" s="23"/>
    </row>
    <row r="38" spans="1:5" x14ac:dyDescent="0.2">
      <c r="A38" s="1" t="s">
        <v>94</v>
      </c>
      <c r="B38" s="23"/>
      <c r="C38" s="23"/>
      <c r="D38" s="23"/>
      <c r="E38" s="23"/>
    </row>
    <row r="39" spans="1:5" x14ac:dyDescent="0.2">
      <c r="A39" s="1" t="s">
        <v>115</v>
      </c>
      <c r="B39" s="23"/>
      <c r="C39" s="23"/>
      <c r="D39" s="23"/>
      <c r="E39" s="23"/>
    </row>
    <row r="40" spans="1:5" x14ac:dyDescent="0.2">
      <c r="A40" s="1" t="s">
        <v>116</v>
      </c>
      <c r="B40" s="25"/>
      <c r="C40" s="23"/>
      <c r="D40" s="23"/>
      <c r="E40" s="23"/>
    </row>
    <row r="41" spans="1:5" x14ac:dyDescent="0.2">
      <c r="A41" s="1" t="s">
        <v>127</v>
      </c>
      <c r="B41" s="23"/>
      <c r="C41" s="23"/>
      <c r="D41" s="23"/>
      <c r="E41" s="23"/>
    </row>
    <row r="42" spans="1:5" x14ac:dyDescent="0.2">
      <c r="A42" s="1" t="s">
        <v>128</v>
      </c>
      <c r="B42" s="23"/>
      <c r="C42" s="23"/>
      <c r="D42" s="23"/>
      <c r="E42" s="23"/>
    </row>
    <row r="43" spans="1:5" x14ac:dyDescent="0.2">
      <c r="A43" s="1" t="s">
        <v>129</v>
      </c>
      <c r="B43" s="26"/>
      <c r="C43" s="26"/>
      <c r="D43" s="26"/>
      <c r="E43" s="26"/>
    </row>
    <row r="44" spans="1:5" x14ac:dyDescent="0.2">
      <c r="A44" s="1" t="s">
        <v>130</v>
      </c>
      <c r="B44" s="26"/>
      <c r="C44" s="26"/>
      <c r="D44" s="26"/>
      <c r="E44" s="26"/>
    </row>
    <row r="45" spans="1:5" x14ac:dyDescent="0.2">
      <c r="A45" s="1" t="s">
        <v>131</v>
      </c>
      <c r="B45" s="23"/>
      <c r="C45" s="23"/>
      <c r="D45" s="23"/>
      <c r="E45" s="23"/>
    </row>
    <row r="46" spans="1:5" x14ac:dyDescent="0.2">
      <c r="A46" s="1" t="s">
        <v>135</v>
      </c>
      <c r="B46" s="23"/>
      <c r="C46" s="23"/>
      <c r="D46" s="23"/>
      <c r="E46" s="23"/>
    </row>
    <row r="47" spans="1:5" x14ac:dyDescent="0.2">
      <c r="A47" s="1" t="s">
        <v>141</v>
      </c>
      <c r="B47" s="23"/>
      <c r="C47" s="23"/>
      <c r="D47" s="23"/>
      <c r="E47" s="23"/>
    </row>
    <row r="48" spans="1:5" x14ac:dyDescent="0.2">
      <c r="A48" s="1" t="s">
        <v>155</v>
      </c>
      <c r="B48" s="42"/>
      <c r="C48" s="42"/>
      <c r="D48" s="42"/>
      <c r="E48" s="42"/>
    </row>
    <row r="49" spans="1:5" x14ac:dyDescent="0.2">
      <c r="A49" s="1" t="s">
        <v>169</v>
      </c>
      <c r="B49" s="23"/>
      <c r="C49" s="23"/>
      <c r="D49" s="23"/>
      <c r="E49" s="23"/>
    </row>
  </sheetData>
  <pageMargins left="0.7" right="0.7" top="0.75" bottom="0.75" header="0.3" footer="0.3"/>
  <pageSetup scale="58" orientation="landscape" r:id="rId1"/>
  <ignoredErrors>
    <ignoredError sqref="B11:D11" formula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Ratios!B6:E6</xm:f>
              <xm:sqref>F6</xm:sqref>
            </x14:sparkline>
            <x14:sparkline>
              <xm:f>Ratios!B7:E7</xm:f>
              <xm:sqref>F7</xm:sqref>
            </x14:sparkline>
            <x14:sparkline>
              <xm:f>Ratios!B8:E8</xm:f>
              <xm:sqref>F8</xm:sqref>
            </x14:sparkline>
            <x14:sparkline>
              <xm:f>Ratios!B9:E9</xm:f>
              <xm:sqref>F9</xm:sqref>
            </x14:sparkline>
            <x14:sparkline>
              <xm:f>Ratios!B10:E10</xm:f>
              <xm:sqref>F10</xm:sqref>
            </x14:sparkline>
            <x14:sparkline>
              <xm:f>Ratios!B11:E11</xm:f>
              <xm:sqref>F11</xm:sqref>
            </x14:sparkline>
            <x14:sparkline>
              <xm:f>Ratios!B12:E12</xm:f>
              <xm:sqref>F12</xm:sqref>
            </x14:sparkline>
            <x14:sparkline>
              <xm:f>Ratios!B13:E13</xm:f>
              <xm:sqref>F13</xm:sqref>
            </x14:sparkline>
            <x14:sparkline>
              <xm:f>Ratios!B14:E14</xm:f>
              <xm:sqref>F14</xm:sqref>
            </x14:sparkline>
            <x14:sparkline>
              <xm:f>Ratios!B15:E15</xm:f>
              <xm:sqref>F15</xm:sqref>
            </x14:sparkline>
            <x14:sparkline>
              <xm:f>Ratios!B16:E16</xm:f>
              <xm:sqref>F16</xm:sqref>
            </x14:sparkline>
            <x14:sparkline>
              <xm:f>Ratios!B17:E17</xm:f>
              <xm:sqref>F17</xm:sqref>
            </x14:sparkline>
            <x14:sparkline>
              <xm:f>Ratios!B18:E18</xm:f>
              <xm:sqref>F18</xm:sqref>
            </x14:sparkline>
            <x14:sparkline>
              <xm:f>Ratios!B19:E19</xm:f>
              <xm:sqref>F19</xm:sqref>
            </x14:sparkline>
            <x14:sparkline>
              <xm:f>Ratios!B20:E20</xm:f>
              <xm:sqref>F20</xm:sqref>
            </x14:sparkline>
            <x14:sparkline>
              <xm:f>Ratios!B21:E21</xm:f>
              <xm:sqref>F21</xm:sqref>
            </x14:sparkline>
            <x14:sparkline>
              <xm:f>Ratios!B22:E22</xm:f>
              <xm:sqref>F22</xm:sqref>
            </x14:sparkline>
            <x14:sparkline>
              <xm:f>Ratios!B23:E23</xm:f>
              <xm:sqref>F23</xm:sqref>
            </x14:sparkline>
            <x14:sparkline>
              <xm:f>Ratios!B24:E24</xm:f>
              <xm:sqref>F24</xm:sqref>
            </x14:sparkline>
            <x14:sparkline>
              <xm:f>Ratios!B25:E25</xm:f>
              <xm:sqref>F25</xm:sqref>
            </x14:sparkline>
            <x14:sparkline>
              <xm:f>Ratios!B26:E26</xm:f>
              <xm:sqref>F26</xm:sqref>
            </x14:sparkline>
            <x14:sparkline>
              <xm:f>Ratios!B27:E27</xm:f>
              <xm:sqref>F27</xm:sqref>
            </x14:sparkline>
            <x14:sparkline>
              <xm:f>Ratios!B28:E28</xm:f>
              <xm:sqref>F28</xm:sqref>
            </x14:sparkline>
            <x14:sparkline>
              <xm:f>Ratios!B29:E29</xm:f>
              <xm:sqref>F29</xm:sqref>
            </x14:sparkline>
            <x14:sparkline>
              <xm:f>Ratios!B30:E30</xm:f>
              <xm:sqref>F30</xm:sqref>
            </x14:sparkline>
            <x14:sparkline>
              <xm:f>Ratios!B31:E31</xm:f>
              <xm:sqref>F31</xm:sqref>
            </x14:sparkline>
            <x14:sparkline>
              <xm:f>Ratios!B32:E32</xm:f>
              <xm:sqref>F32</xm:sqref>
            </x14:sparkline>
            <x14:sparkline>
              <xm:f>Ratios!B33:E33</xm:f>
              <xm:sqref>F33</xm:sqref>
            </x14:sparkline>
            <x14:sparkline>
              <xm:f>Ratios!B34:E34</xm:f>
              <xm:sqref>F34</xm:sqref>
            </x14:sparkline>
            <x14:sparkline>
              <xm:f>Ratios!B35:E35</xm:f>
              <xm:sqref>F35</xm:sqref>
            </x14:sparkline>
            <x14:sparkline>
              <xm:f>Ratios!B36:E36</xm:f>
              <xm:sqref>F36</xm:sqref>
            </x14:sparkline>
            <x14:sparkline>
              <xm:f>Ratios!B37:E37</xm:f>
              <xm:sqref>F37</xm:sqref>
            </x14:sparkline>
            <x14:sparkline>
              <xm:f>Ratios!B38:E38</xm:f>
              <xm:sqref>F38</xm:sqref>
            </x14:sparkline>
            <x14:sparkline>
              <xm:f>Ratios!B39:E39</xm:f>
              <xm:sqref>F39</xm:sqref>
            </x14:sparkline>
            <x14:sparkline>
              <xm:f>Ratios!B40:E40</xm:f>
              <xm:sqref>F40</xm:sqref>
            </x14:sparkline>
            <x14:sparkline>
              <xm:f>Ratios!B41:E41</xm:f>
              <xm:sqref>F41</xm:sqref>
            </x14:sparkline>
            <x14:sparkline>
              <xm:f>Ratios!B42:E42</xm:f>
              <xm:sqref>F42</xm:sqref>
            </x14:sparkline>
            <x14:sparkline>
              <xm:f>Ratios!B43:E43</xm:f>
              <xm:sqref>F43</xm:sqref>
            </x14:sparkline>
            <x14:sparkline>
              <xm:f>Ratios!B44:E44</xm:f>
              <xm:sqref>F44</xm:sqref>
            </x14:sparkline>
            <x14:sparkline>
              <xm:f>Ratios!B45:E45</xm:f>
              <xm:sqref>F45</xm:sqref>
            </x14:sparkline>
            <x14:sparkline>
              <xm:f>Ratios!B46:E46</xm:f>
              <xm:sqref>F46</xm:sqref>
            </x14:sparkline>
            <x14:sparkline>
              <xm:f>Ratios!B47:E47</xm:f>
              <xm:sqref>F47</xm:sqref>
            </x14:sparkline>
            <x14:sparkline>
              <xm:f>Ratios!B48:E48</xm:f>
              <xm:sqref>F48</xm:sqref>
            </x14:sparkline>
            <x14:sparkline>
              <xm:f>Ratios!B49:E49</xm:f>
              <xm:sqref>F49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2"/>
  <sheetViews>
    <sheetView zoomScaleNormal="100" workbookViewId="0">
      <selection activeCell="F26" sqref="F26"/>
    </sheetView>
  </sheetViews>
  <sheetFormatPr defaultRowHeight="12.75" x14ac:dyDescent="0.2"/>
  <cols>
    <col min="1" max="1" width="34.28515625" style="17" bestFit="1" customWidth="1"/>
    <col min="2" max="4" width="6.85546875" style="17" bestFit="1" customWidth="1"/>
    <col min="5" max="5" width="1.42578125" style="17" customWidth="1"/>
    <col min="6" max="6" width="7.85546875" style="17" customWidth="1"/>
    <col min="7" max="8" width="7.85546875" style="17" bestFit="1" customWidth="1"/>
    <col min="9" max="9" width="1.7109375" style="17" customWidth="1"/>
    <col min="10" max="12" width="7.85546875" style="17" bestFit="1" customWidth="1"/>
    <col min="13" max="13" width="1.5703125" style="17" customWidth="1"/>
    <col min="14" max="14" width="7.85546875" style="17" bestFit="1" customWidth="1"/>
    <col min="15" max="15" width="8.5703125" style="17" bestFit="1" customWidth="1"/>
    <col min="16" max="16" width="7.85546875" style="17" bestFit="1" customWidth="1"/>
    <col min="17" max="16384" width="9.140625" style="17"/>
  </cols>
  <sheetData>
    <row r="1" spans="1:16" x14ac:dyDescent="0.2">
      <c r="A1" s="1" t="s">
        <v>0</v>
      </c>
      <c r="B1" s="1" t="s">
        <v>19</v>
      </c>
    </row>
    <row r="2" spans="1:16" x14ac:dyDescent="0.2">
      <c r="A2" s="1" t="s">
        <v>1</v>
      </c>
      <c r="B2" s="1" t="s">
        <v>20</v>
      </c>
    </row>
    <row r="4" spans="1:16" x14ac:dyDescent="0.2">
      <c r="A4" s="1" t="s">
        <v>117</v>
      </c>
      <c r="B4" s="1" t="s">
        <v>118</v>
      </c>
    </row>
    <row r="5" spans="1:16" x14ac:dyDescent="0.2">
      <c r="B5" s="1" t="s">
        <v>119</v>
      </c>
    </row>
    <row r="6" spans="1:16" x14ac:dyDescent="0.2">
      <c r="B6" s="1" t="s">
        <v>120</v>
      </c>
    </row>
    <row r="7" spans="1:16" x14ac:dyDescent="0.2">
      <c r="F7" s="182" t="s">
        <v>133</v>
      </c>
      <c r="G7" s="182"/>
      <c r="H7" s="182"/>
    </row>
    <row r="8" spans="1:16" x14ac:dyDescent="0.2">
      <c r="A8" s="1" t="s">
        <v>134</v>
      </c>
      <c r="B8" s="126"/>
      <c r="F8" s="1" t="s">
        <v>134</v>
      </c>
      <c r="G8" s="30" t="s">
        <v>118</v>
      </c>
      <c r="J8" s="1" t="s">
        <v>134</v>
      </c>
      <c r="K8" s="30" t="s">
        <v>119</v>
      </c>
      <c r="N8" s="1" t="s">
        <v>134</v>
      </c>
      <c r="O8" s="30" t="s">
        <v>120</v>
      </c>
    </row>
    <row r="9" spans="1:16" x14ac:dyDescent="0.2">
      <c r="B9" s="125" t="s">
        <v>132</v>
      </c>
      <c r="C9" s="32" t="s">
        <v>191</v>
      </c>
      <c r="D9" s="33" t="s">
        <v>192</v>
      </c>
      <c r="E9" s="29"/>
      <c r="F9" s="31" t="s">
        <v>132</v>
      </c>
      <c r="G9" s="32" t="s">
        <v>191</v>
      </c>
      <c r="H9" s="33" t="s">
        <v>192</v>
      </c>
      <c r="I9" s="29"/>
      <c r="J9" s="31" t="s">
        <v>132</v>
      </c>
      <c r="K9" s="32" t="s">
        <v>191</v>
      </c>
      <c r="L9" s="33" t="s">
        <v>192</v>
      </c>
      <c r="M9" s="29"/>
      <c r="N9" s="31" t="s">
        <v>132</v>
      </c>
      <c r="O9" s="32" t="s">
        <v>191</v>
      </c>
      <c r="P9" s="33" t="s">
        <v>192</v>
      </c>
    </row>
    <row r="10" spans="1:16" x14ac:dyDescent="0.2">
      <c r="A10" s="1" t="s">
        <v>121</v>
      </c>
      <c r="B10" s="34"/>
      <c r="C10" s="35"/>
      <c r="D10" s="36"/>
      <c r="E10" s="27"/>
      <c r="F10" s="99">
        <v>0.05</v>
      </c>
      <c r="G10" s="79">
        <v>0.05</v>
      </c>
      <c r="H10" s="100">
        <v>0.05</v>
      </c>
      <c r="I10" s="115"/>
      <c r="J10" s="99">
        <v>0.02</v>
      </c>
      <c r="K10" s="79">
        <v>0.02</v>
      </c>
      <c r="L10" s="100">
        <v>0.02</v>
      </c>
      <c r="M10" s="115"/>
      <c r="N10" s="99">
        <v>-0.01</v>
      </c>
      <c r="O10" s="79">
        <v>0</v>
      </c>
      <c r="P10" s="100">
        <v>0.01</v>
      </c>
    </row>
    <row r="11" spans="1:16" x14ac:dyDescent="0.2">
      <c r="A11" s="40" t="s">
        <v>169</v>
      </c>
      <c r="B11" s="35"/>
      <c r="C11" s="35"/>
      <c r="D11" s="36"/>
      <c r="E11" s="27"/>
      <c r="F11" s="99">
        <v>0.69</v>
      </c>
      <c r="G11" s="79">
        <v>0.69</v>
      </c>
      <c r="H11" s="100">
        <v>0.69</v>
      </c>
      <c r="I11" s="115"/>
      <c r="J11" s="99">
        <v>0.7</v>
      </c>
      <c r="K11" s="79">
        <v>0.7</v>
      </c>
      <c r="L11" s="100">
        <v>0.7</v>
      </c>
      <c r="M11" s="115"/>
      <c r="N11" s="99">
        <v>0.71</v>
      </c>
      <c r="O11" s="79">
        <v>0.71</v>
      </c>
      <c r="P11" s="100">
        <v>0.71</v>
      </c>
    </row>
    <row r="12" spans="1:16" x14ac:dyDescent="0.2">
      <c r="A12" s="40" t="s">
        <v>141</v>
      </c>
      <c r="B12" s="35"/>
      <c r="C12" s="35"/>
      <c r="D12" s="36"/>
      <c r="E12" s="27"/>
      <c r="F12" s="99">
        <v>0.03</v>
      </c>
      <c r="G12" s="79">
        <v>0.03</v>
      </c>
      <c r="H12" s="100">
        <v>0.03</v>
      </c>
      <c r="I12" s="115"/>
      <c r="J12" s="99">
        <v>0.01</v>
      </c>
      <c r="K12" s="79">
        <v>0.01</v>
      </c>
      <c r="L12" s="100">
        <v>0.01</v>
      </c>
      <c r="M12" s="115"/>
      <c r="N12" s="99">
        <v>-0.05</v>
      </c>
      <c r="O12" s="79">
        <v>-0.05</v>
      </c>
      <c r="P12" s="100">
        <v>-0.05</v>
      </c>
    </row>
    <row r="13" spans="1:16" x14ac:dyDescent="0.2">
      <c r="A13" s="1" t="s">
        <v>126</v>
      </c>
      <c r="B13" s="34"/>
      <c r="C13" s="35"/>
      <c r="D13" s="36"/>
      <c r="E13" s="27"/>
      <c r="F13" s="99">
        <v>0.34</v>
      </c>
      <c r="G13" s="79">
        <v>0.34</v>
      </c>
      <c r="H13" s="100">
        <v>0.34</v>
      </c>
      <c r="I13" s="115"/>
      <c r="J13" s="99">
        <v>0.35</v>
      </c>
      <c r="K13" s="79">
        <v>0.35</v>
      </c>
      <c r="L13" s="100">
        <v>0.35</v>
      </c>
      <c r="M13" s="115"/>
      <c r="N13" s="99">
        <v>0.3</v>
      </c>
      <c r="O13" s="79">
        <v>0.3</v>
      </c>
      <c r="P13" s="100">
        <v>0.3</v>
      </c>
    </row>
    <row r="14" spans="1:16" x14ac:dyDescent="0.2">
      <c r="A14" s="40" t="s">
        <v>136</v>
      </c>
      <c r="B14" s="34"/>
      <c r="C14" s="35"/>
      <c r="D14" s="36"/>
      <c r="E14" s="27"/>
      <c r="F14" s="99">
        <v>0.2</v>
      </c>
      <c r="G14" s="79">
        <v>0.2</v>
      </c>
      <c r="H14" s="100">
        <v>0.2</v>
      </c>
      <c r="I14" s="115"/>
      <c r="J14" s="99">
        <v>0.22</v>
      </c>
      <c r="K14" s="79">
        <v>0.22</v>
      </c>
      <c r="L14" s="100">
        <v>0.22</v>
      </c>
      <c r="M14" s="115"/>
      <c r="N14" s="99">
        <v>0.23</v>
      </c>
      <c r="O14" s="79">
        <v>0.23</v>
      </c>
      <c r="P14" s="100">
        <v>0.23</v>
      </c>
    </row>
    <row r="15" spans="1:16" x14ac:dyDescent="0.2">
      <c r="A15" s="17" t="s">
        <v>122</v>
      </c>
      <c r="B15" s="34"/>
      <c r="C15" s="35"/>
      <c r="D15" s="36"/>
      <c r="E15" s="27"/>
      <c r="F15" s="99">
        <v>0</v>
      </c>
      <c r="G15" s="79">
        <v>0</v>
      </c>
      <c r="H15" s="100">
        <v>0</v>
      </c>
      <c r="I15" s="115"/>
      <c r="J15" s="99">
        <v>0</v>
      </c>
      <c r="K15" s="79">
        <v>0</v>
      </c>
      <c r="L15" s="100">
        <v>0</v>
      </c>
      <c r="M15" s="115"/>
      <c r="N15" s="99">
        <v>0</v>
      </c>
      <c r="O15" s="79">
        <v>0</v>
      </c>
      <c r="P15" s="100">
        <v>0</v>
      </c>
    </row>
    <row r="16" spans="1:16" x14ac:dyDescent="0.2">
      <c r="A16" s="17" t="s">
        <v>123</v>
      </c>
      <c r="B16" s="34"/>
      <c r="C16" s="35"/>
      <c r="D16" s="36"/>
      <c r="E16" s="27"/>
      <c r="F16" s="99">
        <v>0.16</v>
      </c>
      <c r="G16" s="79">
        <v>0.16</v>
      </c>
      <c r="H16" s="100">
        <v>0.16</v>
      </c>
      <c r="I16" s="115"/>
      <c r="J16" s="99">
        <v>0.17</v>
      </c>
      <c r="K16" s="79">
        <v>0.17</v>
      </c>
      <c r="L16" s="100">
        <v>0.17</v>
      </c>
      <c r="M16" s="115"/>
      <c r="N16" s="99">
        <v>0.18</v>
      </c>
      <c r="O16" s="79">
        <v>0.18</v>
      </c>
      <c r="P16" s="100">
        <v>0.18</v>
      </c>
    </row>
    <row r="17" spans="1:16" x14ac:dyDescent="0.2">
      <c r="A17" s="17" t="s">
        <v>124</v>
      </c>
      <c r="B17" s="34"/>
      <c r="C17" s="35"/>
      <c r="D17" s="36"/>
      <c r="E17" s="27"/>
      <c r="F17" s="99">
        <v>0.14000000000000001</v>
      </c>
      <c r="G17" s="79">
        <v>0.14000000000000001</v>
      </c>
      <c r="H17" s="100">
        <v>0.14000000000000001</v>
      </c>
      <c r="I17" s="115"/>
      <c r="J17" s="99">
        <v>0.15</v>
      </c>
      <c r="K17" s="79">
        <v>0.15</v>
      </c>
      <c r="L17" s="100">
        <v>0.15</v>
      </c>
      <c r="M17" s="115"/>
      <c r="N17" s="99">
        <v>0.16</v>
      </c>
      <c r="O17" s="79">
        <v>0.16</v>
      </c>
      <c r="P17" s="100">
        <v>0.16</v>
      </c>
    </row>
    <row r="18" spans="1:16" x14ac:dyDescent="0.2">
      <c r="A18" s="40" t="s">
        <v>110</v>
      </c>
      <c r="B18" s="34"/>
      <c r="C18" s="35"/>
      <c r="D18" s="36"/>
      <c r="E18" s="27"/>
      <c r="F18" s="101">
        <v>0.27500000000000002</v>
      </c>
      <c r="G18" s="102">
        <v>0.27500000000000002</v>
      </c>
      <c r="H18" s="103">
        <v>0.27500000000000002</v>
      </c>
      <c r="I18" s="115"/>
      <c r="J18" s="101">
        <v>0.3</v>
      </c>
      <c r="K18" s="102">
        <v>0.3</v>
      </c>
      <c r="L18" s="103">
        <v>0.3</v>
      </c>
      <c r="M18" s="115"/>
      <c r="N18" s="101">
        <v>0.32500000000000001</v>
      </c>
      <c r="O18" s="102">
        <v>0.32500000000000001</v>
      </c>
      <c r="P18" s="103">
        <v>0.32500000000000001</v>
      </c>
    </row>
    <row r="19" spans="1:16" x14ac:dyDescent="0.2">
      <c r="A19" s="17" t="s">
        <v>125</v>
      </c>
      <c r="B19" s="34"/>
      <c r="C19" s="35"/>
      <c r="D19" s="36"/>
      <c r="E19" s="27"/>
      <c r="F19" s="99">
        <v>4.4999999999999998E-2</v>
      </c>
      <c r="G19" s="79">
        <v>4.4999999999999998E-2</v>
      </c>
      <c r="H19" s="100">
        <v>4.4999999999999998E-2</v>
      </c>
      <c r="I19" s="115"/>
      <c r="J19" s="99">
        <v>0.05</v>
      </c>
      <c r="K19" s="79">
        <v>0.05</v>
      </c>
      <c r="L19" s="100">
        <v>0.05</v>
      </c>
      <c r="M19" s="115"/>
      <c r="N19" s="99">
        <v>5.5E-2</v>
      </c>
      <c r="O19" s="79">
        <v>5.5E-2</v>
      </c>
      <c r="P19" s="100">
        <v>5.5E-2</v>
      </c>
    </row>
    <row r="20" spans="1:16" x14ac:dyDescent="0.2">
      <c r="A20" s="1" t="s">
        <v>116</v>
      </c>
      <c r="B20" s="34"/>
      <c r="C20" s="35"/>
      <c r="D20" s="36"/>
      <c r="E20" s="27"/>
      <c r="F20" s="99">
        <v>7.0000000000000007E-2</v>
      </c>
      <c r="G20" s="79">
        <v>7.0000000000000007E-2</v>
      </c>
      <c r="H20" s="100">
        <v>7.0000000000000007E-2</v>
      </c>
      <c r="I20" s="115"/>
      <c r="J20" s="99">
        <v>7.0000000000000007E-2</v>
      </c>
      <c r="K20" s="79">
        <v>7.0000000000000007E-2</v>
      </c>
      <c r="L20" s="100">
        <v>7.0000000000000007E-2</v>
      </c>
      <c r="M20" s="115"/>
      <c r="N20" s="99">
        <v>7.0000000000000007E-2</v>
      </c>
      <c r="O20" s="79">
        <v>7.0000000000000007E-2</v>
      </c>
      <c r="P20" s="100">
        <v>7.0000000000000007E-2</v>
      </c>
    </row>
    <row r="21" spans="1:16" x14ac:dyDescent="0.2">
      <c r="A21" s="1" t="s">
        <v>130</v>
      </c>
      <c r="B21" s="34"/>
      <c r="C21" s="35"/>
      <c r="D21" s="36"/>
      <c r="E21" s="27"/>
      <c r="F21" s="99">
        <v>0.05</v>
      </c>
      <c r="G21" s="79">
        <v>0.05</v>
      </c>
      <c r="H21" s="100">
        <v>0.05</v>
      </c>
      <c r="I21" s="115"/>
      <c r="J21" s="99">
        <v>7.0000000000000007E-2</v>
      </c>
      <c r="K21" s="79">
        <v>7.0000000000000007E-2</v>
      </c>
      <c r="L21" s="100">
        <v>7.0000000000000007E-2</v>
      </c>
      <c r="M21" s="115"/>
      <c r="N21" s="99">
        <v>0.08</v>
      </c>
      <c r="O21" s="79">
        <v>0.08</v>
      </c>
      <c r="P21" s="100">
        <v>0.08</v>
      </c>
    </row>
    <row r="22" spans="1:16" x14ac:dyDescent="0.2">
      <c r="A22" s="1" t="s">
        <v>131</v>
      </c>
      <c r="B22" s="37"/>
      <c r="C22" s="38"/>
      <c r="D22" s="39"/>
      <c r="E22" s="27"/>
      <c r="F22" s="104">
        <v>0.55000000000000004</v>
      </c>
      <c r="G22" s="105">
        <v>0.55000000000000004</v>
      </c>
      <c r="H22" s="106">
        <v>0.55000000000000004</v>
      </c>
      <c r="I22" s="115"/>
      <c r="J22" s="104">
        <v>0.4</v>
      </c>
      <c r="K22" s="105">
        <v>0.4</v>
      </c>
      <c r="L22" s="106">
        <v>0.4</v>
      </c>
      <c r="M22" s="115"/>
      <c r="N22" s="104">
        <v>0.4</v>
      </c>
      <c r="O22" s="105">
        <v>0.4</v>
      </c>
      <c r="P22" s="106">
        <v>0.4</v>
      </c>
    </row>
  </sheetData>
  <mergeCells count="1">
    <mergeCell ref="F7:H7"/>
  </mergeCells>
  <pageMargins left="0.7" right="0.7" top="0.75" bottom="0.75" header="0.3" footer="0.3"/>
  <pageSetup scale="76" fitToWidth="0" orientation="landscape" horizontalDpi="4294967293" verticalDpi="4294967293" r:id="rId1"/>
  <colBreaks count="1" manualBreakCount="1">
    <brk id="4" max="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2"/>
  <sheetViews>
    <sheetView zoomScale="90" zoomScaleNormal="90" workbookViewId="0">
      <pane ySplit="5" topLeftCell="A6" activePane="bottomLeft" state="frozen"/>
      <selection pane="bottomLeft" activeCell="A6" sqref="A6"/>
    </sheetView>
  </sheetViews>
  <sheetFormatPr defaultColWidth="21.28515625" defaultRowHeight="12.75" x14ac:dyDescent="0.2"/>
  <cols>
    <col min="1" max="1" width="43.5703125" style="8" bestFit="1" customWidth="1"/>
    <col min="2" max="2" width="16.5703125" style="8" bestFit="1" customWidth="1"/>
    <col min="3" max="4" width="15.7109375" style="8" bestFit="1" customWidth="1"/>
    <col min="5" max="6" width="21.28515625" style="13"/>
    <col min="7" max="16384" width="21.28515625" style="8"/>
  </cols>
  <sheetData>
    <row r="1" spans="1:8" x14ac:dyDescent="0.2">
      <c r="A1" s="1" t="s">
        <v>0</v>
      </c>
      <c r="B1" s="1" t="s">
        <v>19</v>
      </c>
    </row>
    <row r="2" spans="1:8" x14ac:dyDescent="0.2">
      <c r="A2" s="1" t="s">
        <v>1</v>
      </c>
      <c r="B2" s="1" t="s">
        <v>20</v>
      </c>
    </row>
    <row r="3" spans="1:8" x14ac:dyDescent="0.2">
      <c r="A3" s="78" t="s">
        <v>195</v>
      </c>
      <c r="B3" s="127">
        <f>Assumptions!B8</f>
        <v>0</v>
      </c>
    </row>
    <row r="5" spans="1:8" x14ac:dyDescent="0.2">
      <c r="A5" s="3" t="s">
        <v>4</v>
      </c>
      <c r="B5" s="31" t="s">
        <v>132</v>
      </c>
      <c r="C5" s="32" t="s">
        <v>191</v>
      </c>
      <c r="D5" s="33" t="s">
        <v>192</v>
      </c>
      <c r="E5" s="8"/>
      <c r="F5" s="8"/>
      <c r="G5" s="5"/>
      <c r="H5" s="4"/>
    </row>
    <row r="6" spans="1:8" x14ac:dyDescent="0.2">
      <c r="A6" s="6"/>
      <c r="B6" s="130"/>
      <c r="C6" s="6"/>
      <c r="D6" s="131"/>
      <c r="E6" s="8"/>
      <c r="F6" s="8"/>
      <c r="G6" s="6"/>
    </row>
    <row r="7" spans="1:8" x14ac:dyDescent="0.2">
      <c r="A7" s="7" t="s">
        <v>7</v>
      </c>
      <c r="B7" s="167"/>
      <c r="C7" s="55"/>
      <c r="D7" s="133"/>
      <c r="E7" s="8"/>
      <c r="F7" s="8"/>
    </row>
    <row r="8" spans="1:8" x14ac:dyDescent="0.2">
      <c r="A8" s="9" t="s">
        <v>2</v>
      </c>
      <c r="B8" s="134"/>
      <c r="C8" s="65"/>
      <c r="D8" s="135"/>
      <c r="E8" s="8"/>
      <c r="F8" s="8"/>
    </row>
    <row r="9" spans="1:8" x14ac:dyDescent="0.2">
      <c r="A9" s="15" t="s">
        <v>3</v>
      </c>
      <c r="B9" s="136"/>
      <c r="C9" s="66"/>
      <c r="D9" s="137"/>
      <c r="E9" s="8"/>
      <c r="F9" s="8"/>
    </row>
    <row r="10" spans="1:8" x14ac:dyDescent="0.2">
      <c r="A10" s="7" t="s">
        <v>8</v>
      </c>
      <c r="B10" s="132"/>
      <c r="C10" s="55"/>
      <c r="D10" s="133"/>
      <c r="E10" s="8"/>
      <c r="F10" s="8"/>
    </row>
    <row r="11" spans="1:8" x14ac:dyDescent="0.2">
      <c r="A11" s="9" t="s">
        <v>9</v>
      </c>
      <c r="B11" s="155">
        <v>0</v>
      </c>
      <c r="C11" s="93">
        <v>0</v>
      </c>
      <c r="D11" s="156">
        <v>0</v>
      </c>
      <c r="E11" s="8"/>
      <c r="F11" s="8"/>
    </row>
    <row r="12" spans="1:8" x14ac:dyDescent="0.2">
      <c r="A12" s="15" t="s">
        <v>16</v>
      </c>
      <c r="B12" s="132"/>
      <c r="C12" s="55"/>
      <c r="D12" s="133"/>
      <c r="E12" s="8"/>
      <c r="F12" s="8"/>
    </row>
    <row r="13" spans="1:8" x14ac:dyDescent="0.2">
      <c r="A13" s="7" t="s">
        <v>10</v>
      </c>
      <c r="B13" s="132"/>
      <c r="C13" s="55"/>
      <c r="D13" s="133"/>
      <c r="E13" s="8"/>
      <c r="F13" s="8"/>
    </row>
    <row r="14" spans="1:8" x14ac:dyDescent="0.2">
      <c r="A14" s="9" t="s">
        <v>11</v>
      </c>
      <c r="B14" s="138">
        <v>0</v>
      </c>
      <c r="C14" s="56">
        <v>0</v>
      </c>
      <c r="D14" s="139">
        <v>0</v>
      </c>
      <c r="E14" s="8"/>
      <c r="F14" s="8"/>
      <c r="H14" s="1"/>
    </row>
    <row r="15" spans="1:8" x14ac:dyDescent="0.2">
      <c r="A15" s="15" t="s">
        <v>17</v>
      </c>
      <c r="B15" s="142"/>
      <c r="C15" s="68"/>
      <c r="D15" s="143"/>
      <c r="E15" s="8"/>
      <c r="F15" s="8"/>
      <c r="H15" s="14"/>
    </row>
    <row r="16" spans="1:8" x14ac:dyDescent="0.2">
      <c r="A16" s="10" t="s">
        <v>137</v>
      </c>
      <c r="B16" s="144"/>
      <c r="C16" s="88"/>
      <c r="D16" s="145"/>
      <c r="E16" s="8"/>
      <c r="F16" s="8"/>
      <c r="H16" s="14"/>
    </row>
    <row r="17" spans="1:7" x14ac:dyDescent="0.2">
      <c r="A17" s="15" t="s">
        <v>18</v>
      </c>
      <c r="B17" s="140"/>
      <c r="C17" s="67"/>
      <c r="D17" s="141"/>
      <c r="E17" s="8"/>
      <c r="F17" s="8"/>
    </row>
    <row r="18" spans="1:7" x14ac:dyDescent="0.2">
      <c r="A18" s="10" t="s">
        <v>12</v>
      </c>
      <c r="B18" s="132"/>
      <c r="C18" s="69"/>
      <c r="D18" s="146"/>
      <c r="E18" s="8"/>
      <c r="F18" s="8"/>
    </row>
    <row r="19" spans="1:7" x14ac:dyDescent="0.2">
      <c r="A19" s="3" t="s">
        <v>13</v>
      </c>
      <c r="B19" s="140"/>
      <c r="C19" s="67"/>
      <c r="D19" s="141"/>
      <c r="E19" s="8"/>
      <c r="F19" s="8"/>
    </row>
    <row r="20" spans="1:7" x14ac:dyDescent="0.2">
      <c r="A20" s="3" t="s">
        <v>14</v>
      </c>
      <c r="B20" s="147"/>
      <c r="C20" s="70"/>
      <c r="D20" s="148"/>
      <c r="E20" s="8"/>
      <c r="F20" s="8"/>
    </row>
    <row r="21" spans="1:7" x14ac:dyDescent="0.2">
      <c r="A21" s="6"/>
      <c r="B21" s="149"/>
      <c r="C21" s="71"/>
      <c r="D21" s="150"/>
      <c r="E21" s="8"/>
      <c r="F21" s="8"/>
      <c r="G21" s="6"/>
    </row>
    <row r="22" spans="1:7" x14ac:dyDescent="0.2">
      <c r="A22" s="7" t="s">
        <v>15</v>
      </c>
      <c r="B22" s="151"/>
      <c r="C22" s="72"/>
      <c r="D22" s="152"/>
      <c r="E22" s="8"/>
      <c r="F22" s="8"/>
    </row>
    <row r="23" spans="1:7" x14ac:dyDescent="0.2">
      <c r="A23" s="7"/>
      <c r="B23" s="153"/>
      <c r="C23" s="41"/>
      <c r="D23" s="154"/>
      <c r="E23" s="8"/>
      <c r="F23" s="8"/>
    </row>
    <row r="24" spans="1:7" x14ac:dyDescent="0.2">
      <c r="A24" s="19" t="s">
        <v>138</v>
      </c>
      <c r="B24" s="153"/>
      <c r="C24" s="41"/>
      <c r="D24" s="154"/>
      <c r="E24" s="8"/>
      <c r="F24" s="8"/>
    </row>
    <row r="25" spans="1:7" x14ac:dyDescent="0.2">
      <c r="A25" s="1" t="s">
        <v>139</v>
      </c>
      <c r="B25" s="168"/>
      <c r="C25" s="169"/>
      <c r="D25" s="170"/>
      <c r="E25" s="8"/>
      <c r="F25" s="8"/>
    </row>
    <row r="26" spans="1:7" x14ac:dyDescent="0.2">
      <c r="A26" s="1" t="s">
        <v>140</v>
      </c>
      <c r="B26" s="171"/>
      <c r="C26" s="172"/>
      <c r="D26" s="173"/>
      <c r="E26" s="8"/>
      <c r="F26" s="8"/>
    </row>
    <row r="27" spans="1:7" x14ac:dyDescent="0.2">
      <c r="A27" s="1" t="s">
        <v>142</v>
      </c>
      <c r="B27" s="167"/>
      <c r="C27" s="55"/>
      <c r="D27" s="133"/>
      <c r="E27" s="8"/>
      <c r="F27" s="8"/>
    </row>
    <row r="28" spans="1:7" x14ac:dyDescent="0.2">
      <c r="A28" s="1" t="s">
        <v>143</v>
      </c>
      <c r="B28" s="171"/>
      <c r="C28" s="172"/>
      <c r="D28" s="173"/>
      <c r="E28" s="8"/>
      <c r="F28" s="8"/>
    </row>
    <row r="29" spans="1:7" x14ac:dyDescent="0.2">
      <c r="A29" s="1" t="s">
        <v>144</v>
      </c>
      <c r="B29" s="174"/>
      <c r="C29" s="175"/>
      <c r="D29" s="176"/>
      <c r="E29" s="8"/>
      <c r="F29" s="8"/>
    </row>
    <row r="30" spans="1:7" x14ac:dyDescent="0.2">
      <c r="A30" s="1" t="s">
        <v>175</v>
      </c>
      <c r="B30" s="177"/>
      <c r="C30" s="178"/>
      <c r="D30" s="179"/>
      <c r="E30" s="8"/>
      <c r="F30" s="8"/>
    </row>
    <row r="31" spans="1:7" x14ac:dyDescent="0.2">
      <c r="E31" s="8"/>
      <c r="F31" s="8"/>
    </row>
    <row r="32" spans="1:7" x14ac:dyDescent="0.2">
      <c r="E32" s="8"/>
      <c r="F32" s="8"/>
    </row>
  </sheetData>
  <pageMargins left="0.7" right="0.7" top="0.75" bottom="0.75" header="0.3" footer="0.3"/>
  <pageSetup scale="90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7"/>
  <sheetViews>
    <sheetView zoomScaleNormal="100" workbookViewId="0">
      <selection activeCell="B10" sqref="B10"/>
    </sheetView>
  </sheetViews>
  <sheetFormatPr defaultRowHeight="12.75" x14ac:dyDescent="0.2"/>
  <cols>
    <col min="1" max="1" width="18" style="13" bestFit="1" customWidth="1"/>
    <col min="2" max="2" width="8.5703125" style="13" bestFit="1" customWidth="1"/>
    <col min="3" max="4" width="9.5703125" style="13" bestFit="1" customWidth="1"/>
    <col min="5" max="16384" width="9.140625" style="13"/>
  </cols>
  <sheetData>
    <row r="1" spans="1:4" x14ac:dyDescent="0.2">
      <c r="A1" s="1" t="s">
        <v>0</v>
      </c>
      <c r="B1" s="1" t="s">
        <v>19</v>
      </c>
    </row>
    <row r="2" spans="1:4" x14ac:dyDescent="0.2">
      <c r="A2" s="1" t="s">
        <v>1</v>
      </c>
      <c r="B2" s="1" t="s">
        <v>20</v>
      </c>
    </row>
    <row r="3" spans="1:4" x14ac:dyDescent="0.2">
      <c r="A3" s="78" t="s">
        <v>195</v>
      </c>
      <c r="B3" s="127">
        <f>Assumptions!B8</f>
        <v>0</v>
      </c>
    </row>
    <row r="4" spans="1:4" x14ac:dyDescent="0.2">
      <c r="A4" s="1"/>
    </row>
    <row r="5" spans="1:4" x14ac:dyDescent="0.2">
      <c r="A5" s="1" t="s">
        <v>146</v>
      </c>
      <c r="B5" s="84">
        <v>16.97</v>
      </c>
      <c r="C5"/>
      <c r="D5"/>
    </row>
    <row r="6" spans="1:4" x14ac:dyDescent="0.2">
      <c r="A6" s="1" t="s">
        <v>147</v>
      </c>
      <c r="B6" s="107">
        <v>76.61</v>
      </c>
      <c r="C6"/>
      <c r="D6"/>
    </row>
    <row r="7" spans="1:4" x14ac:dyDescent="0.2">
      <c r="B7"/>
      <c r="C7"/>
      <c r="D7"/>
    </row>
    <row r="8" spans="1:4" x14ac:dyDescent="0.2">
      <c r="A8" s="1"/>
      <c r="B8" s="11" t="s">
        <v>132</v>
      </c>
      <c r="C8" s="11" t="s">
        <v>191</v>
      </c>
      <c r="D8" s="11" t="s">
        <v>192</v>
      </c>
    </row>
    <row r="9" spans="1:4" x14ac:dyDescent="0.2">
      <c r="A9" s="1" t="s">
        <v>145</v>
      </c>
      <c r="B9" s="42"/>
      <c r="C9" s="42"/>
      <c r="D9" s="42"/>
    </row>
    <row r="10" spans="1:4" x14ac:dyDescent="0.2">
      <c r="A10" s="1" t="s">
        <v>148</v>
      </c>
      <c r="B10" s="116">
        <v>12.5</v>
      </c>
      <c r="C10" s="116">
        <v>12.5</v>
      </c>
      <c r="D10" s="116">
        <v>12.5</v>
      </c>
    </row>
    <row r="11" spans="1:4" x14ac:dyDescent="0.2">
      <c r="A11" s="1" t="s">
        <v>149</v>
      </c>
      <c r="B11" s="116">
        <v>20</v>
      </c>
      <c r="C11" s="116">
        <v>20</v>
      </c>
      <c r="D11" s="116">
        <v>20</v>
      </c>
    </row>
    <row r="12" spans="1:4" x14ac:dyDescent="0.2">
      <c r="A12" s="1" t="s">
        <v>150</v>
      </c>
      <c r="B12" s="116">
        <v>30</v>
      </c>
      <c r="C12" s="116">
        <v>30</v>
      </c>
      <c r="D12" s="116">
        <v>30</v>
      </c>
    </row>
    <row r="14" spans="1:4" x14ac:dyDescent="0.2">
      <c r="A14" s="19" t="s">
        <v>151</v>
      </c>
    </row>
    <row r="15" spans="1:4" x14ac:dyDescent="0.2">
      <c r="A15" s="1" t="s">
        <v>152</v>
      </c>
      <c r="B15" s="44"/>
      <c r="C15" s="45"/>
      <c r="D15" s="46"/>
    </row>
    <row r="16" spans="1:4" x14ac:dyDescent="0.2">
      <c r="A16" s="1" t="s">
        <v>153</v>
      </c>
      <c r="B16" s="47"/>
      <c r="C16" s="43"/>
      <c r="D16" s="48"/>
    </row>
    <row r="17" spans="1:4" x14ac:dyDescent="0.2">
      <c r="A17" s="1" t="s">
        <v>154</v>
      </c>
      <c r="B17" s="49"/>
      <c r="C17" s="50"/>
      <c r="D17" s="51"/>
    </row>
  </sheetData>
  <pageMargins left="0.7" right="0.7" top="0.75" bottom="0.75" header="0.3" footer="0.3"/>
  <pageSetup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>
      <selection activeCell="F17" sqref="F17"/>
    </sheetView>
  </sheetViews>
  <sheetFormatPr defaultRowHeight="12.75" x14ac:dyDescent="0.2"/>
  <cols>
    <col min="1" max="1" width="19.140625" bestFit="1" customWidth="1"/>
    <col min="2" max="2" width="8.7109375" bestFit="1" customWidth="1"/>
    <col min="5" max="5" width="13.42578125" bestFit="1" customWidth="1"/>
  </cols>
  <sheetData>
    <row r="1" spans="1:6" x14ac:dyDescent="0.2">
      <c r="A1" s="78" t="s">
        <v>0</v>
      </c>
      <c r="B1" s="78" t="s">
        <v>19</v>
      </c>
    </row>
    <row r="2" spans="1:6" x14ac:dyDescent="0.2">
      <c r="A2" s="78" t="s">
        <v>1</v>
      </c>
      <c r="B2" s="78" t="s">
        <v>20</v>
      </c>
    </row>
    <row r="3" spans="1:6" x14ac:dyDescent="0.2">
      <c r="A3" s="78" t="s">
        <v>195</v>
      </c>
      <c r="B3" s="127">
        <f>Assumptions!B8</f>
        <v>0</v>
      </c>
    </row>
    <row r="5" spans="1:6" x14ac:dyDescent="0.2">
      <c r="A5" s="78" t="s">
        <v>156</v>
      </c>
      <c r="B5" s="79">
        <v>0.05</v>
      </c>
      <c r="C5" s="64"/>
      <c r="D5" s="64"/>
    </row>
    <row r="6" spans="1:6" x14ac:dyDescent="0.2">
      <c r="A6" s="78" t="s">
        <v>159</v>
      </c>
      <c r="B6" s="79">
        <v>0.03</v>
      </c>
      <c r="C6" s="64"/>
      <c r="D6" s="64"/>
    </row>
    <row r="7" spans="1:6" x14ac:dyDescent="0.2">
      <c r="A7" s="78" t="s">
        <v>157</v>
      </c>
      <c r="B7" s="80"/>
      <c r="C7" s="64"/>
      <c r="D7" s="64"/>
    </row>
    <row r="8" spans="1:6" x14ac:dyDescent="0.2">
      <c r="A8" s="78"/>
      <c r="B8" s="81"/>
      <c r="C8" s="64"/>
      <c r="D8" s="64"/>
    </row>
    <row r="9" spans="1:6" x14ac:dyDescent="0.2">
      <c r="B9" s="11" t="s">
        <v>132</v>
      </c>
      <c r="C9" s="11" t="s">
        <v>191</v>
      </c>
      <c r="D9" s="11" t="s">
        <v>192</v>
      </c>
    </row>
    <row r="10" spans="1:6" x14ac:dyDescent="0.2">
      <c r="A10" s="78" t="s">
        <v>155</v>
      </c>
      <c r="B10" s="82"/>
      <c r="C10" s="82"/>
      <c r="D10" s="82"/>
    </row>
    <row r="11" spans="1:6" x14ac:dyDescent="0.2">
      <c r="A11" s="78" t="s">
        <v>158</v>
      </c>
      <c r="B11" s="180"/>
      <c r="C11" s="83"/>
      <c r="D11" s="83"/>
    </row>
    <row r="12" spans="1:6" x14ac:dyDescent="0.2">
      <c r="A12" s="78" t="s">
        <v>161</v>
      </c>
      <c r="B12" s="84">
        <v>1</v>
      </c>
      <c r="C12" s="84">
        <v>2</v>
      </c>
      <c r="D12" s="84">
        <v>3</v>
      </c>
    </row>
    <row r="13" spans="1:6" x14ac:dyDescent="0.2">
      <c r="B13" s="64"/>
      <c r="C13" s="64"/>
      <c r="D13" s="64"/>
    </row>
    <row r="14" spans="1:6" x14ac:dyDescent="0.2">
      <c r="A14" s="78" t="s">
        <v>160</v>
      </c>
      <c r="B14" s="85"/>
      <c r="C14" s="64"/>
      <c r="D14" s="64"/>
    </row>
    <row r="16" spans="1:6" x14ac:dyDescent="0.2">
      <c r="B16" s="119" t="str">
        <f>B9</f>
        <v>2015P</v>
      </c>
      <c r="C16" s="120" t="str">
        <f>C9</f>
        <v>2016P</v>
      </c>
      <c r="D16" s="121" t="str">
        <f>D9</f>
        <v>2017P</v>
      </c>
      <c r="E16" s="117" t="s">
        <v>157</v>
      </c>
      <c r="F16" s="117" t="s">
        <v>194</v>
      </c>
    </row>
    <row r="17" spans="1:6" x14ac:dyDescent="0.2">
      <c r="A17" s="78" t="s">
        <v>193</v>
      </c>
      <c r="B17" s="122"/>
      <c r="C17" s="123"/>
      <c r="D17" s="124"/>
      <c r="E17" s="118"/>
      <c r="F17" s="118"/>
    </row>
    <row r="19" spans="1:6" x14ac:dyDescent="0.2">
      <c r="B19" s="86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E4" sqref="E4"/>
    </sheetView>
  </sheetViews>
  <sheetFormatPr defaultRowHeight="12.75" x14ac:dyDescent="0.2"/>
  <cols>
    <col min="1" max="1" width="19" bestFit="1" customWidth="1"/>
    <col min="2" max="2" width="11.28515625" bestFit="1" customWidth="1"/>
  </cols>
  <sheetData>
    <row r="1" spans="1:7" x14ac:dyDescent="0.2">
      <c r="A1" t="s">
        <v>0</v>
      </c>
      <c r="B1" t="s">
        <v>19</v>
      </c>
    </row>
    <row r="2" spans="1:7" x14ac:dyDescent="0.2">
      <c r="A2" t="s">
        <v>1</v>
      </c>
      <c r="B2" t="s">
        <v>20</v>
      </c>
    </row>
    <row r="3" spans="1:7" x14ac:dyDescent="0.2">
      <c r="A3" s="78" t="s">
        <v>195</v>
      </c>
      <c r="B3" s="127">
        <f>Assumptions!B8</f>
        <v>0</v>
      </c>
    </row>
    <row r="5" spans="1:7" x14ac:dyDescent="0.2">
      <c r="A5" t="s">
        <v>126</v>
      </c>
      <c r="B5" s="73"/>
      <c r="D5" t="s">
        <v>184</v>
      </c>
      <c r="E5" s="87"/>
    </row>
    <row r="6" spans="1:7" x14ac:dyDescent="0.2">
      <c r="A6" t="s">
        <v>176</v>
      </c>
      <c r="B6" s="87"/>
      <c r="D6" t="s">
        <v>186</v>
      </c>
      <c r="E6" s="73"/>
    </row>
    <row r="7" spans="1:7" x14ac:dyDescent="0.2">
      <c r="A7" t="s">
        <v>183</v>
      </c>
      <c r="B7" s="181"/>
      <c r="D7" t="s">
        <v>185</v>
      </c>
      <c r="E7" s="73"/>
    </row>
    <row r="8" spans="1:7" x14ac:dyDescent="0.2">
      <c r="A8" t="s">
        <v>181</v>
      </c>
      <c r="B8" s="76"/>
      <c r="D8" t="s">
        <v>189</v>
      </c>
      <c r="E8" s="108"/>
    </row>
    <row r="10" spans="1:7" x14ac:dyDescent="0.2">
      <c r="A10" t="s">
        <v>177</v>
      </c>
      <c r="B10" s="75">
        <v>0.8</v>
      </c>
    </row>
    <row r="11" spans="1:7" x14ac:dyDescent="0.2">
      <c r="A11" t="s">
        <v>178</v>
      </c>
      <c r="B11" s="74">
        <v>0.08</v>
      </c>
    </row>
    <row r="12" spans="1:7" x14ac:dyDescent="0.2">
      <c r="A12" t="s">
        <v>179</v>
      </c>
      <c r="B12" s="98">
        <v>0</v>
      </c>
    </row>
    <row r="14" spans="1:7" x14ac:dyDescent="0.2">
      <c r="A14" t="s">
        <v>180</v>
      </c>
      <c r="B14" s="158"/>
    </row>
    <row r="15" spans="1:7" x14ac:dyDescent="0.2">
      <c r="E15" t="s">
        <v>187</v>
      </c>
      <c r="F15" t="s">
        <v>188</v>
      </c>
      <c r="G15" t="s">
        <v>182</v>
      </c>
    </row>
    <row r="16" spans="1:7" x14ac:dyDescent="0.2">
      <c r="A16" t="s">
        <v>182</v>
      </c>
      <c r="B16" s="76"/>
      <c r="E16" s="76"/>
      <c r="F16" s="76"/>
      <c r="G16" s="109"/>
    </row>
  </sheetData>
  <pageMargins left="0.7" right="0.7" top="0.75" bottom="0.75" header="0.3" footer="0.3"/>
  <pageSetup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9"/>
  <sheetViews>
    <sheetView workbookViewId="0">
      <pane ySplit="5" topLeftCell="A6" activePane="bottomLeft" state="frozen"/>
      <selection pane="bottomLeft" activeCell="A6" sqref="A6"/>
    </sheetView>
  </sheetViews>
  <sheetFormatPr defaultRowHeight="12.75" x14ac:dyDescent="0.2"/>
  <cols>
    <col min="1" max="1" width="34.85546875" style="13" bestFit="1" customWidth="1"/>
    <col min="2" max="4" width="9.140625" style="17"/>
    <col min="5" max="5" width="9.140625" style="13"/>
    <col min="6" max="6" width="22.7109375" style="13" bestFit="1" customWidth="1"/>
    <col min="7" max="16384" width="9.140625" style="13"/>
  </cols>
  <sheetData>
    <row r="1" spans="1:9" x14ac:dyDescent="0.2">
      <c r="A1" s="1" t="s">
        <v>0</v>
      </c>
      <c r="B1" s="1" t="s">
        <v>19</v>
      </c>
    </row>
    <row r="2" spans="1:9" x14ac:dyDescent="0.2">
      <c r="A2" s="1" t="s">
        <v>1</v>
      </c>
      <c r="B2" s="1" t="s">
        <v>20</v>
      </c>
    </row>
    <row r="3" spans="1:9" x14ac:dyDescent="0.2">
      <c r="A3" s="78" t="s">
        <v>195</v>
      </c>
      <c r="B3" s="127">
        <f>Assumptions!B8</f>
        <v>0</v>
      </c>
    </row>
    <row r="5" spans="1:9" x14ac:dyDescent="0.2">
      <c r="B5" s="11" t="s">
        <v>132</v>
      </c>
      <c r="C5" s="11" t="s">
        <v>191</v>
      </c>
      <c r="D5" s="11" t="s">
        <v>192</v>
      </c>
      <c r="F5" s="53" t="s">
        <v>173</v>
      </c>
      <c r="G5" s="11"/>
      <c r="H5" s="11"/>
      <c r="I5" s="11"/>
    </row>
    <row r="6" spans="1:9" x14ac:dyDescent="0.2">
      <c r="A6" s="1" t="s">
        <v>162</v>
      </c>
      <c r="B6" s="57"/>
      <c r="C6" s="57"/>
      <c r="D6" s="57"/>
      <c r="F6" s="1" t="s">
        <v>156</v>
      </c>
      <c r="G6" s="77"/>
    </row>
    <row r="7" spans="1:9" x14ac:dyDescent="0.2">
      <c r="A7" s="1" t="s">
        <v>140</v>
      </c>
      <c r="B7" s="58"/>
      <c r="C7" s="58"/>
      <c r="D7" s="58"/>
      <c r="F7" s="1" t="s">
        <v>158</v>
      </c>
      <c r="G7" s="28">
        <v>0.02</v>
      </c>
    </row>
    <row r="8" spans="1:9" x14ac:dyDescent="0.2">
      <c r="A8" s="54" t="s">
        <v>163</v>
      </c>
      <c r="B8" s="59"/>
      <c r="C8" s="59"/>
      <c r="D8" s="59"/>
      <c r="F8" s="1"/>
      <c r="G8" s="28"/>
    </row>
    <row r="9" spans="1:9" x14ac:dyDescent="0.2">
      <c r="A9" s="1" t="s">
        <v>171</v>
      </c>
      <c r="B9" s="60"/>
      <c r="C9" s="60"/>
      <c r="D9" s="60"/>
      <c r="F9" s="1" t="s">
        <v>157</v>
      </c>
      <c r="G9" s="60"/>
    </row>
    <row r="10" spans="1:9" x14ac:dyDescent="0.2">
      <c r="A10" s="1" t="s">
        <v>161</v>
      </c>
      <c r="B10" s="20">
        <v>1</v>
      </c>
      <c r="C10" s="20">
        <v>2</v>
      </c>
      <c r="D10" s="20">
        <v>3</v>
      </c>
      <c r="G10" s="21"/>
    </row>
    <row r="11" spans="1:9" x14ac:dyDescent="0.2">
      <c r="B11" s="27"/>
      <c r="C11" s="27"/>
      <c r="D11" s="27"/>
      <c r="F11" s="1" t="s">
        <v>174</v>
      </c>
      <c r="G11" s="60"/>
    </row>
    <row r="12" spans="1:9" x14ac:dyDescent="0.2">
      <c r="A12" s="19" t="s">
        <v>172</v>
      </c>
      <c r="B12" s="27"/>
      <c r="C12" s="27"/>
      <c r="D12" s="27"/>
    </row>
    <row r="13" spans="1:9" x14ac:dyDescent="0.2">
      <c r="A13" s="1" t="s">
        <v>164</v>
      </c>
      <c r="B13" s="55"/>
      <c r="C13" s="55"/>
      <c r="D13" s="55"/>
    </row>
    <row r="14" spans="1:9" x14ac:dyDescent="0.2">
      <c r="A14" s="1" t="s">
        <v>165</v>
      </c>
      <c r="B14" s="55"/>
      <c r="C14" s="55"/>
      <c r="D14" s="55"/>
      <c r="E14" s="14"/>
    </row>
    <row r="15" spans="1:9" x14ac:dyDescent="0.2">
      <c r="A15" s="1" t="s">
        <v>166</v>
      </c>
      <c r="B15" s="20">
        <v>100</v>
      </c>
      <c r="C15" s="20">
        <v>100</v>
      </c>
      <c r="D15" s="20">
        <v>100</v>
      </c>
    </row>
    <row r="16" spans="1:9" x14ac:dyDescent="0.2">
      <c r="A16" s="52" t="s">
        <v>61</v>
      </c>
      <c r="B16" s="27"/>
      <c r="C16" s="27"/>
      <c r="D16" s="27"/>
    </row>
    <row r="17" spans="1:4" x14ac:dyDescent="0.2">
      <c r="A17" s="17" t="s">
        <v>62</v>
      </c>
      <c r="B17" s="61"/>
      <c r="C17" s="61"/>
      <c r="D17" s="61"/>
    </row>
    <row r="18" spans="1:4" x14ac:dyDescent="0.2">
      <c r="A18" s="17" t="s">
        <v>23</v>
      </c>
      <c r="B18" s="61"/>
      <c r="C18" s="61"/>
      <c r="D18" s="61"/>
    </row>
    <row r="19" spans="1:4" x14ac:dyDescent="0.2">
      <c r="A19" s="16" t="s">
        <v>37</v>
      </c>
      <c r="B19" s="62"/>
      <c r="C19" s="63"/>
      <c r="D19" s="63"/>
    </row>
    <row r="20" spans="1:4" x14ac:dyDescent="0.2">
      <c r="A20" s="1" t="s">
        <v>162</v>
      </c>
      <c r="B20" s="67"/>
      <c r="C20" s="67"/>
      <c r="D20" s="67"/>
    </row>
    <row r="21" spans="1:4" x14ac:dyDescent="0.2">
      <c r="A21" s="17"/>
      <c r="B21" s="27"/>
      <c r="C21" s="27"/>
      <c r="D21" s="27"/>
    </row>
    <row r="22" spans="1:4" x14ac:dyDescent="0.2">
      <c r="A22" s="1" t="s">
        <v>167</v>
      </c>
      <c r="B22" s="61"/>
      <c r="C22" s="61"/>
      <c r="D22" s="61"/>
    </row>
    <row r="23" spans="1:4" x14ac:dyDescent="0.2">
      <c r="A23" s="1" t="s">
        <v>23</v>
      </c>
      <c r="B23" s="61"/>
      <c r="C23" s="61"/>
      <c r="D23" s="61"/>
    </row>
    <row r="24" spans="1:4" x14ac:dyDescent="0.2">
      <c r="A24" s="1" t="s">
        <v>168</v>
      </c>
      <c r="B24" s="61"/>
      <c r="C24" s="61"/>
      <c r="D24" s="61"/>
    </row>
    <row r="25" spans="1:4" x14ac:dyDescent="0.2">
      <c r="A25" s="1" t="s">
        <v>170</v>
      </c>
      <c r="B25" s="24"/>
      <c r="C25" s="24"/>
      <c r="D25" s="24"/>
    </row>
    <row r="26" spans="1:4" x14ac:dyDescent="0.2">
      <c r="A26" s="17"/>
    </row>
    <row r="27" spans="1:4" x14ac:dyDescent="0.2">
      <c r="A27" s="17"/>
    </row>
    <row r="28" spans="1:4" x14ac:dyDescent="0.2">
      <c r="A28" s="17"/>
    </row>
    <row r="29" spans="1:4" x14ac:dyDescent="0.2">
      <c r="A29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IS</vt:lpstr>
      <vt:lpstr>BS</vt:lpstr>
      <vt:lpstr>CF</vt:lpstr>
      <vt:lpstr>Ratios</vt:lpstr>
      <vt:lpstr>Assumptions</vt:lpstr>
      <vt:lpstr>Projections</vt:lpstr>
      <vt:lpstr>Valuation</vt:lpstr>
      <vt:lpstr>DDM-Val</vt:lpstr>
      <vt:lpstr>WACC</vt:lpstr>
      <vt:lpstr>DCF-Val</vt:lpstr>
      <vt:lpstr>Assumptions!Print_Area</vt:lpstr>
      <vt:lpstr>Ratios!Print_Area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Nick</cp:lastModifiedBy>
  <cp:lastPrinted>2014-01-17T22:58:26Z</cp:lastPrinted>
  <dcterms:created xsi:type="dcterms:W3CDTF">2014-01-11T16:43:29Z</dcterms:created>
  <dcterms:modified xsi:type="dcterms:W3CDTF">2020-07-06T19:20:44Z</dcterms:modified>
</cp:coreProperties>
</file>